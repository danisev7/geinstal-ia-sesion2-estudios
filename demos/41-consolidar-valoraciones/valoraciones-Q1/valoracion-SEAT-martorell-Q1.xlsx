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I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8" customWidth="1" min="3" max="3"/>
    <col width="14" customWidth="1" min="4" max="4"/>
    <col width="14" customWidth="1" min="5" max="5"/>
  </cols>
  <sheetData>
    <row r="1" ht="28" customHeight="1">
      <c r="A1" s="1" t="inlineStr">
        <is>
          <t>SEAT S.A. · Fire Protection Systems · Q1 2026 Quote</t>
        </is>
      </c>
    </row>
    <row r="3">
      <c r="A3" s="2" t="inlineStr">
        <is>
          <t>Vendor:</t>
        </is>
      </c>
      <c r="B3" t="inlineStr">
        <is>
          <t>Geinstal S.L. (CIF B-63215477)</t>
        </is>
      </c>
    </row>
    <row r="4">
      <c r="A4" s="2" t="inlineStr">
        <is>
          <t>Ref:</t>
        </is>
      </c>
      <c r="B4" t="inlineStr">
        <is>
          <t>GI-SEAT-2026-Q1</t>
        </is>
      </c>
    </row>
    <row r="5">
      <c r="A5" s="2" t="inlineStr">
        <is>
          <t>Currency:</t>
        </is>
      </c>
      <c r="B5" t="inlineStr">
        <is>
          <t>EUR (VAT excluded)</t>
        </is>
      </c>
    </row>
    <row r="7">
      <c r="A7" s="3" t="inlineStr">
        <is>
          <t>Item #</t>
        </is>
      </c>
      <c r="B7" s="3" t="inlineStr">
        <is>
          <t>Description</t>
        </is>
      </c>
      <c r="C7" s="3" t="inlineStr">
        <is>
          <t>Qty</t>
        </is>
      </c>
      <c r="D7" s="3" t="inlineStr">
        <is>
          <t>Unit Price</t>
        </is>
      </c>
      <c r="E7" s="3" t="inlineStr">
        <is>
          <t>Total</t>
        </is>
      </c>
    </row>
    <row r="8">
      <c r="A8" s="4" t="inlineStr">
        <is>
          <t>FP-001</t>
        </is>
      </c>
      <c r="B8" s="5" t="inlineStr">
        <is>
          <t>Annual preventive maintenance — detection system (1,847 detectors)</t>
        </is>
      </c>
      <c r="C8" s="6" t="n">
        <v>1</v>
      </c>
      <c r="D8" s="7" t="n">
        <v>64800</v>
      </c>
      <c r="E8" s="7">
        <f>C8*D8</f>
        <v/>
      </c>
    </row>
    <row r="9">
      <c r="A9" s="4" t="inlineStr">
        <is>
          <t>FP-002</t>
        </is>
      </c>
      <c r="B9" s="5" t="inlineStr">
        <is>
          <t>Annual preventive maintenance — sprinkler system</t>
        </is>
      </c>
      <c r="C9" s="6" t="n">
        <v>1</v>
      </c>
      <c r="D9" s="7" t="n">
        <v>28400</v>
      </c>
      <c r="E9" s="7">
        <f>C9*D9</f>
        <v/>
      </c>
    </row>
    <row r="10">
      <c r="A10" s="4" t="inlineStr">
        <is>
          <t>FP-003</t>
        </is>
      </c>
      <c r="B10" s="5" t="inlineStr">
        <is>
          <t>Annual preventive maintenance — BIEs (42 units)</t>
        </is>
      </c>
      <c r="C10" s="6" t="n">
        <v>1</v>
      </c>
      <c r="D10" s="7" t="n">
        <v>8200</v>
      </c>
      <c r="E10" s="7">
        <f>C10*D10</f>
        <v/>
      </c>
    </row>
    <row r="11">
      <c r="A11" s="4" t="inlineStr">
        <is>
          <t>FP-004</t>
        </is>
      </c>
      <c r="B11" s="5" t="inlineStr">
        <is>
          <t>Annual revision portable extinguishers (387 units)</t>
        </is>
      </c>
      <c r="C11" s="6" t="n">
        <v>1</v>
      </c>
      <c r="D11" s="7" t="n">
        <v>11200</v>
      </c>
      <c r="E11" s="7">
        <f>C11*D11</f>
        <v/>
      </c>
    </row>
    <row r="12">
      <c r="A12" s="4" t="inlineStr">
        <is>
          <t>FP-005</t>
        </is>
      </c>
      <c r="B12" s="5" t="inlineStr">
        <is>
          <t>Quarterly water pump room inspection</t>
        </is>
      </c>
      <c r="C12" s="6" t="n">
        <v>4</v>
      </c>
      <c r="D12" s="7" t="n">
        <v>1450</v>
      </c>
      <c r="E12" s="7">
        <f>C12*D12</f>
        <v/>
      </c>
    </row>
    <row r="13">
      <c r="A13" s="4" t="inlineStr">
        <is>
          <t>FP-006</t>
        </is>
      </c>
      <c r="B13" s="5" t="inlineStr">
        <is>
          <t>24/7 emergency call-out (guaranteed response 2h)</t>
        </is>
      </c>
      <c r="C13" s="6" t="n">
        <v>1</v>
      </c>
      <c r="D13" s="7" t="n">
        <v>32500</v>
      </c>
      <c r="E13" s="7">
        <f>C13*D13</f>
        <v/>
      </c>
    </row>
    <row r="14">
      <c r="A14" s="4" t="inlineStr">
        <is>
          <t>FP-007</t>
        </is>
      </c>
      <c r="B14" s="5" t="inlineStr">
        <is>
          <t>Corrective interventions — block of 150 hours</t>
        </is>
      </c>
      <c r="C14" s="6" t="n">
        <v>1</v>
      </c>
      <c r="D14" s="7" t="n">
        <v>10500</v>
      </c>
      <c r="E14" s="7">
        <f>C14*D14</f>
        <v/>
      </c>
    </row>
    <row r="15">
      <c r="A15" s="4" t="inlineStr">
        <is>
          <t>FP-008</t>
        </is>
      </c>
      <c r="B15" s="5" t="inlineStr">
        <is>
          <t>Fire alarm panel firmware updates</t>
        </is>
      </c>
      <c r="C15" s="6" t="n">
        <v>2</v>
      </c>
      <c r="D15" s="7" t="n">
        <v>850</v>
      </c>
      <c r="E15" s="7">
        <f>C15*D15</f>
        <v/>
      </c>
    </row>
    <row r="16">
      <c r="A16" s="4" t="inlineStr">
        <is>
          <t>FP-009</t>
        </is>
      </c>
      <c r="B16" s="5" t="inlineStr">
        <is>
          <t>Semi-annual fireproof doors revision (168 units)</t>
        </is>
      </c>
      <c r="C16" s="6" t="n">
        <v>2</v>
      </c>
      <c r="D16" s="7" t="n">
        <v>4800</v>
      </c>
      <c r="E16" s="7">
        <f>C16*D16</f>
        <v/>
      </c>
    </row>
    <row r="17">
      <c r="A17" s="4" t="inlineStr">
        <is>
          <t>FP-010</t>
        </is>
      </c>
      <c r="B17" s="5" t="inlineStr">
        <is>
          <t>Documentation and quarterly compliance reports</t>
        </is>
      </c>
      <c r="C17" s="6" t="n">
        <v>4</v>
      </c>
      <c r="D17" s="7" t="n">
        <v>650</v>
      </c>
      <c r="E17" s="7">
        <f>C17*D17</f>
        <v/>
      </c>
    </row>
    <row r="18">
      <c r="A18" s="4" t="inlineStr">
        <is>
          <t>FP-011</t>
        </is>
      </c>
      <c r="B18" s="5" t="inlineStr">
        <is>
          <t>RIPCI annual certification coordination with OCA</t>
        </is>
      </c>
      <c r="C18" s="6" t="n">
        <v>1</v>
      </c>
      <c r="D18" s="7" t="n">
        <v>2800</v>
      </c>
      <c r="E18" s="7">
        <f>C18*D18</f>
        <v/>
      </c>
    </row>
    <row r="19">
      <c r="A19" s="4" t="inlineStr">
        <is>
          <t>FP-012</t>
        </is>
      </c>
      <c r="B19" s="5" t="inlineStr">
        <is>
          <t>Training session for SEAT fire safety staff</t>
        </is>
      </c>
      <c r="C19" s="6" t="n">
        <v>2</v>
      </c>
      <c r="D19" s="7" t="n">
        <v>1400</v>
      </c>
      <c r="E19" s="7">
        <f>C19*D19</f>
        <v/>
      </c>
    </row>
    <row r="20">
      <c r="A20" s="4" t="inlineStr">
        <is>
          <t>FP-013</t>
        </is>
      </c>
      <c r="B20" s="5" t="inlineStr">
        <is>
          <t>Spare parts stock commitment (10% adicional)</t>
        </is>
      </c>
      <c r="C20" s="6" t="n">
        <v>1</v>
      </c>
      <c r="D20" s="7" t="n">
        <v>5600</v>
      </c>
      <c r="E20" s="7">
        <f>C20*D20</f>
        <v/>
      </c>
    </row>
    <row r="21">
      <c r="A21" s="4" t="inlineStr">
        <is>
          <t>FP-014</t>
        </is>
      </c>
      <c r="B21" s="5" t="inlineStr">
        <is>
          <t>ESFR sprinkler head sampling test (parque logístico)</t>
        </is>
      </c>
      <c r="C21" s="6" t="n">
        <v>1</v>
      </c>
      <c r="D21" s="7" t="n">
        <v>3200</v>
      </c>
      <c r="E21" s="7">
        <f>C21*D21</f>
        <v/>
      </c>
    </row>
    <row r="22">
      <c r="A22" s="4" t="inlineStr">
        <is>
          <t>FP-015</t>
        </is>
      </c>
      <c r="B22" s="5" t="inlineStr">
        <is>
          <t>Travel expenses cap (site Martorell)</t>
        </is>
      </c>
      <c r="C22" s="6" t="n">
        <v>1</v>
      </c>
      <c r="D22" s="7" t="n">
        <v>4200</v>
      </c>
      <c r="E22" s="7">
        <f>C22*D22</f>
        <v/>
      </c>
    </row>
    <row r="24">
      <c r="D24" s="8" t="inlineStr">
        <is>
          <t>GRAND TOTAL</t>
        </is>
      </c>
      <c r="E24" s="9">
        <f>SUM(E8:E22)</f>
        <v/>
      </c>
    </row>
    <row r="27">
      <c r="A27" s="10" t="inlineStr">
        <is>
          <t>Note: Margin calculation not required — SEAT uses net pricing only.</t>
        </is>
      </c>
    </row>
  </sheetData>
  <mergeCells count="2">
    <mergeCell ref="A1:E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2026-04-19T20:51:35Z</dcterms:created>
  <dcterms:modified xmlns:dcterms="http://purl.org/dc/terms/" xmlns:xsi="http://www.w3.org/2001/XMLSchema-instance" xsi:type="dcterms:W3CDTF">2026-04-19T20:51:35Z</dcterms:modified>
</cp:coreProperties>
</file>