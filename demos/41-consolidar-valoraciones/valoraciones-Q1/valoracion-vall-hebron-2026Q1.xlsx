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ación 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10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3D7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0" customWidth="1" min="8" max="8"/>
  </cols>
  <sheetData>
    <row r="1" ht="28" customHeight="1">
      <c r="A1" s="1" t="inlineStr">
        <is>
          <t>HOSPITAL UNIVERSITARI VALL D'HEBRON — Valoración oferta Q1 2026</t>
        </is>
      </c>
    </row>
    <row r="3">
      <c r="A3" s="2" t="inlineStr">
        <is>
          <t>Cliente:</t>
        </is>
      </c>
      <c r="B3" t="inlineStr">
        <is>
          <t>Hospital Universitari Vall d'Hebron</t>
        </is>
      </c>
    </row>
    <row r="4">
      <c r="A4" s="2" t="inlineStr">
        <is>
          <t>Expediente:</t>
        </is>
      </c>
      <c r="B4" t="inlineStr">
        <is>
          <t>VH-2026-MI-0073</t>
        </is>
      </c>
    </row>
    <row r="5">
      <c r="A5" s="2" t="inlineStr">
        <is>
          <t>Fecha valoración:</t>
        </is>
      </c>
      <c r="B5" t="inlineStr">
        <is>
          <t>31/03/2026</t>
        </is>
      </c>
    </row>
    <row r="7">
      <c r="A7" s="3" t="inlineStr">
        <is>
          <t>Partida</t>
        </is>
      </c>
      <c r="B7" s="3" t="inlineStr">
        <is>
          <t>Unid.</t>
        </is>
      </c>
      <c r="C7" s="3" t="inlineStr">
        <is>
          <t>Cantidad</t>
        </is>
      </c>
      <c r="D7" s="3" t="inlineStr">
        <is>
          <t>P. Unit. (€)</t>
        </is>
      </c>
      <c r="E7" s="3" t="inlineStr">
        <is>
          <t>Importe (€)</t>
        </is>
      </c>
      <c r="F7" s="3" t="inlineStr">
        <is>
          <t>Coste Geinstal (€)</t>
        </is>
      </c>
      <c r="G7" s="3" t="inlineStr">
        <is>
          <t>Margen (€)</t>
        </is>
      </c>
      <c r="H7" s="3" t="inlineStr">
        <is>
          <t>Margen (%)</t>
        </is>
      </c>
    </row>
    <row r="8">
      <c r="A8" s="4" t="inlineStr">
        <is>
          <t>Mantenimiento preventivo UTAs UCI (24 unidades)</t>
        </is>
      </c>
      <c r="B8" s="5" t="inlineStr">
        <is>
          <t>año</t>
        </is>
      </c>
      <c r="C8" s="6" t="n">
        <v>1</v>
      </c>
      <c r="D8" s="7" t="n">
        <v>185000</v>
      </c>
      <c r="E8" s="7">
        <f>C8*D8</f>
        <v/>
      </c>
      <c r="F8" s="7">
        <f>C8*124000</f>
        <v/>
      </c>
      <c r="G8" s="7">
        <f>E8-F8</f>
        <v/>
      </c>
      <c r="H8" s="8">
        <f>IF(E8=0,0,(G8/E8))</f>
        <v/>
      </c>
    </row>
    <row r="9">
      <c r="A9" s="4" t="inlineStr">
        <is>
          <t>Sustitución filtros HEPA semestral (24 uds)</t>
        </is>
      </c>
      <c r="B9" s="5" t="inlineStr">
        <is>
          <t>ud</t>
        </is>
      </c>
      <c r="C9" s="6" t="n">
        <v>48</v>
      </c>
      <c r="D9" s="7" t="n">
        <v>485</v>
      </c>
      <c r="E9" s="7">
        <f>C9*D9</f>
        <v/>
      </c>
      <c r="F9" s="7">
        <f>C9*290</f>
        <v/>
      </c>
      <c r="G9" s="7">
        <f>E9-F9</f>
        <v/>
      </c>
      <c r="H9" s="8">
        <f>IF(E9=0,0,(G9/E9))</f>
        <v/>
      </c>
    </row>
    <row r="10">
      <c r="A10" s="4" t="inlineStr">
        <is>
          <t>Análisis microbiológico aire (trimestral)</t>
        </is>
      </c>
      <c r="B10" s="5" t="inlineStr">
        <is>
          <t>ud</t>
        </is>
      </c>
      <c r="C10" s="6" t="n">
        <v>8</v>
      </c>
      <c r="D10" s="7" t="n">
        <v>320</v>
      </c>
      <c r="E10" s="7">
        <f>C10*D10</f>
        <v/>
      </c>
      <c r="F10" s="7">
        <f>C10*210</f>
        <v/>
      </c>
      <c r="G10" s="7">
        <f>E10-F10</f>
        <v/>
      </c>
      <c r="H10" s="8">
        <f>IF(E10=0,0,(G10/E10))</f>
        <v/>
      </c>
    </row>
    <row r="11">
      <c r="A11" s="4" t="inlineStr">
        <is>
          <t>Verificación caudales y presiones (mensual)</t>
        </is>
      </c>
      <c r="B11" s="5" t="inlineStr">
        <is>
          <t>mes</t>
        </is>
      </c>
      <c r="C11" s="6" t="n">
        <v>12</v>
      </c>
      <c r="D11" s="7" t="n">
        <v>980</v>
      </c>
      <c r="E11" s="7">
        <f>C11*D11</f>
        <v/>
      </c>
      <c r="F11" s="7">
        <f>C11*620</f>
        <v/>
      </c>
      <c r="G11" s="7">
        <f>E11-F11</f>
        <v/>
      </c>
      <c r="H11" s="8">
        <f>IF(E11=0,0,(G11/E11))</f>
        <v/>
      </c>
    </row>
    <row r="12">
      <c r="A12" s="4" t="inlineStr">
        <is>
          <t>Inspección detectores y BIEs</t>
        </is>
      </c>
      <c r="B12" s="5" t="inlineStr">
        <is>
          <t>año</t>
        </is>
      </c>
      <c r="C12" s="6" t="n">
        <v>1</v>
      </c>
      <c r="D12" s="7" t="n">
        <v>34000</v>
      </c>
      <c r="E12" s="7">
        <f>C12*D12</f>
        <v/>
      </c>
      <c r="F12" s="7">
        <f>C12*22500</f>
        <v/>
      </c>
      <c r="G12" s="7">
        <f>E12-F12</f>
        <v/>
      </c>
      <c r="H12" s="8">
        <f>IF(E12=0,0,(G12/E12))</f>
        <v/>
      </c>
    </row>
    <row r="13">
      <c r="A13" s="4" t="inlineStr">
        <is>
          <t>Mantenimiento enfriadoras agua helada (4 uds)</t>
        </is>
      </c>
      <c r="B13" s="5" t="inlineStr">
        <is>
          <t>año</t>
        </is>
      </c>
      <c r="C13" s="6" t="n">
        <v>1</v>
      </c>
      <c r="D13" s="7" t="n">
        <v>58000</v>
      </c>
      <c r="E13" s="7">
        <f>C13*D13</f>
        <v/>
      </c>
      <c r="F13" s="7">
        <f>C13*41000</f>
        <v/>
      </c>
      <c r="G13" s="7">
        <f>E13-F13</f>
        <v/>
      </c>
      <c r="H13" s="8">
        <f>IF(E13=0,0,(G13/E13))</f>
        <v/>
      </c>
    </row>
    <row r="14">
      <c r="A14" s="4" t="inlineStr">
        <is>
          <t>Correctivos nivel 1 (guardia 24/7)</t>
        </is>
      </c>
      <c r="B14" s="5" t="inlineStr">
        <is>
          <t>año</t>
        </is>
      </c>
      <c r="C14" s="6" t="n">
        <v>1</v>
      </c>
      <c r="D14" s="7" t="n">
        <v>72000</v>
      </c>
      <c r="E14" s="7">
        <f>C14*D14</f>
        <v/>
      </c>
      <c r="F14" s="7">
        <f>C14*54000</f>
        <v/>
      </c>
      <c r="G14" s="7">
        <f>E14-F14</f>
        <v/>
      </c>
      <c r="H14" s="8">
        <f>IF(E14=0,0,(G14/E14))</f>
        <v/>
      </c>
    </row>
    <row r="15">
      <c r="A15" s="4" t="inlineStr">
        <is>
          <t>Correctivos nivel 2 (especialista HEPA)</t>
        </is>
      </c>
      <c r="B15" s="5" t="inlineStr">
        <is>
          <t>h</t>
        </is>
      </c>
      <c r="C15" s="6" t="n">
        <v>120</v>
      </c>
      <c r="D15" s="7" t="n">
        <v>85</v>
      </c>
      <c r="E15" s="7">
        <f>C15*D15</f>
        <v/>
      </c>
      <c r="F15" s="7">
        <f>C15*58</f>
        <v/>
      </c>
      <c r="G15" s="7">
        <f>E15-F15</f>
        <v/>
      </c>
      <c r="H15" s="8">
        <f>IF(E15=0,0,(G15/E15))</f>
        <v/>
      </c>
    </row>
    <row r="16">
      <c r="A16" s="4" t="inlineStr">
        <is>
          <t>Stock filtros emergencia (10% adicional)</t>
        </is>
      </c>
      <c r="B16" s="5" t="inlineStr">
        <is>
          <t>ud</t>
        </is>
      </c>
      <c r="C16" s="6" t="n">
        <v>8</v>
      </c>
      <c r="D16" s="7" t="n">
        <v>485</v>
      </c>
      <c r="E16" s="7">
        <f>C16*D16</f>
        <v/>
      </c>
      <c r="F16" s="7">
        <f>C16*290</f>
        <v/>
      </c>
      <c r="G16" s="7">
        <f>E16-F16</f>
        <v/>
      </c>
      <c r="H16" s="8">
        <f>IF(E16=0,0,(G16/E16))</f>
        <v/>
      </c>
    </row>
    <row r="17">
      <c r="A17" s="4" t="inlineStr">
        <is>
          <t>Calibración anual sondas presión diferencial</t>
        </is>
      </c>
      <c r="B17" s="5" t="inlineStr">
        <is>
          <t>ud</t>
        </is>
      </c>
      <c r="C17" s="6" t="n">
        <v>24</v>
      </c>
      <c r="D17" s="7" t="n">
        <v>135</v>
      </c>
      <c r="E17" s="7">
        <f>C17*D17</f>
        <v/>
      </c>
      <c r="F17" s="7">
        <f>C17*90</f>
        <v/>
      </c>
      <c r="G17" s="7">
        <f>E17-F17</f>
        <v/>
      </c>
      <c r="H17" s="8">
        <f>IF(E17=0,0,(G17/E17))</f>
        <v/>
      </c>
    </row>
    <row r="18">
      <c r="A18" s="4" t="inlineStr">
        <is>
          <t>Informe de calidad mensual</t>
        </is>
      </c>
      <c r="B18" s="5" t="inlineStr">
        <is>
          <t>ud</t>
        </is>
      </c>
      <c r="C18" s="6" t="n">
        <v>12</v>
      </c>
      <c r="D18" s="7" t="n">
        <v>450</v>
      </c>
      <c r="E18" s="7">
        <f>C18*D18</f>
        <v/>
      </c>
      <c r="F18" s="7">
        <f>C18*180</f>
        <v/>
      </c>
      <c r="G18" s="7">
        <f>E18-F18</f>
        <v/>
      </c>
      <c r="H18" s="8">
        <f>IF(E18=0,0,(G18/E18))</f>
        <v/>
      </c>
    </row>
    <row r="19">
      <c r="A19" s="4" t="inlineStr">
        <is>
          <t>Formación anual al personal técnico cliente</t>
        </is>
      </c>
      <c r="B19" s="5" t="inlineStr">
        <is>
          <t>ud</t>
        </is>
      </c>
      <c r="C19" s="6" t="n">
        <v>1</v>
      </c>
      <c r="D19" s="7" t="n">
        <v>4200</v>
      </c>
      <c r="E19" s="7">
        <f>C19*D19</f>
        <v/>
      </c>
      <c r="F19" s="7">
        <f>C19*1800</f>
        <v/>
      </c>
      <c r="G19" s="7">
        <f>E19-F19</f>
        <v/>
      </c>
      <c r="H19" s="8">
        <f>IF(E19=0,0,(G19/E19))</f>
        <v/>
      </c>
    </row>
    <row r="20">
      <c r="A20" s="4" t="inlineStr">
        <is>
          <t>Desinfección semestral conductos UCI</t>
        </is>
      </c>
      <c r="B20" s="5" t="inlineStr">
        <is>
          <t>ud</t>
        </is>
      </c>
      <c r="C20" s="6" t="n">
        <v>2</v>
      </c>
      <c r="D20" s="7" t="n">
        <v>8500</v>
      </c>
      <c r="E20" s="7">
        <f>C20*D20</f>
        <v/>
      </c>
      <c r="F20" s="7">
        <f>C20*5200</f>
        <v/>
      </c>
      <c r="G20" s="7">
        <f>E20-F20</f>
        <v/>
      </c>
      <c r="H20" s="8">
        <f>IF(E20=0,0,(G20/E20))</f>
        <v/>
      </c>
    </row>
    <row r="21">
      <c r="A21" s="4" t="inlineStr">
        <is>
          <t>Análisis Legionella sistema ACS UCI</t>
        </is>
      </c>
      <c r="B21" s="5" t="inlineStr">
        <is>
          <t>ud</t>
        </is>
      </c>
      <c r="C21" s="6" t="n">
        <v>4</v>
      </c>
      <c r="D21" s="7" t="n">
        <v>480</v>
      </c>
      <c r="E21" s="7">
        <f>C21*D21</f>
        <v/>
      </c>
      <c r="F21" s="7">
        <f>C21*290</f>
        <v/>
      </c>
      <c r="G21" s="7">
        <f>E21-F21</f>
        <v/>
      </c>
      <c r="H21" s="8">
        <f>IF(E21=0,0,(G21/E21))</f>
        <v/>
      </c>
    </row>
    <row r="22">
      <c r="A22" s="4" t="inlineStr">
        <is>
          <t>Coordinación con OCA eléctrica anual</t>
        </is>
      </c>
      <c r="B22" s="5" t="inlineStr">
        <is>
          <t>ud</t>
        </is>
      </c>
      <c r="C22" s="6" t="n">
        <v>1</v>
      </c>
      <c r="D22" s="7" t="n">
        <v>1800</v>
      </c>
      <c r="E22" s="7">
        <f>C22*D22</f>
        <v/>
      </c>
      <c r="F22" s="7">
        <f>C22*1200</f>
        <v/>
      </c>
      <c r="G22" s="7">
        <f>E22-F22</f>
        <v/>
      </c>
      <c r="H22" s="8">
        <f>IF(E22=0,0,(G22/E22))</f>
        <v/>
      </c>
    </row>
    <row r="23">
      <c r="A23" s="4" t="inlineStr">
        <is>
          <t>Partida gestión documental y reporting</t>
        </is>
      </c>
      <c r="B23" s="5" t="inlineStr">
        <is>
          <t>año</t>
        </is>
      </c>
      <c r="C23" s="6" t="n">
        <v>1</v>
      </c>
      <c r="D23" s="7" t="n">
        <v>6200</v>
      </c>
      <c r="E23" s="7">
        <f>C23*D23</f>
        <v/>
      </c>
      <c r="F23" s="7">
        <f>C23*2400</f>
        <v/>
      </c>
      <c r="G23" s="7">
        <f>E23-F23</f>
        <v/>
      </c>
      <c r="H23" s="8">
        <f>IF(E23=0,0,(G23/E23))</f>
        <v/>
      </c>
    </row>
    <row r="24">
      <c r="A24" s="4" t="inlineStr">
        <is>
          <t>Seguros específicos obra hospitalaria</t>
        </is>
      </c>
      <c r="B24" s="5" t="inlineStr">
        <is>
          <t>año</t>
        </is>
      </c>
      <c r="C24" s="6" t="n">
        <v>1</v>
      </c>
      <c r="D24" s="7" t="n">
        <v>3800</v>
      </c>
      <c r="E24" s="7">
        <f>C24*D24</f>
        <v/>
      </c>
      <c r="F24" s="7">
        <f>C24*3800</f>
        <v/>
      </c>
      <c r="G24" s="7">
        <f>E24-F24</f>
        <v/>
      </c>
      <c r="H24" s="8">
        <f>IF(E24=0,0,(G24/E24))</f>
        <v/>
      </c>
    </row>
    <row r="25">
      <c r="A25" s="4" t="inlineStr">
        <is>
          <t>Dirección facultativa propia (24 meses)</t>
        </is>
      </c>
      <c r="B25" s="5" t="inlineStr">
        <is>
          <t>mes</t>
        </is>
      </c>
      <c r="C25" s="6" t="n">
        <v>24</v>
      </c>
      <c r="D25" s="7" t="n">
        <v>950</v>
      </c>
      <c r="E25" s="7">
        <f>C25*D25</f>
        <v/>
      </c>
      <c r="F25" s="7">
        <f>C25*750</f>
        <v/>
      </c>
      <c r="G25" s="7">
        <f>E25-F25</f>
        <v/>
      </c>
      <c r="H25" s="8">
        <f>IF(E25=0,0,(G25/E25))</f>
        <v/>
      </c>
    </row>
    <row r="26">
      <c r="A26" s="4" t="inlineStr">
        <is>
          <t>Reserva contingencias estimada</t>
        </is>
      </c>
      <c r="B26" s="5" t="inlineStr">
        <is>
          <t>año</t>
        </is>
      </c>
      <c r="C26" s="6" t="n">
        <v>1</v>
      </c>
      <c r="D26" s="7" t="n">
        <v>12000</v>
      </c>
      <c r="E26" s="7">
        <f>C26*D26</f>
        <v/>
      </c>
      <c r="F26" s="7">
        <f>C26*9000</f>
        <v/>
      </c>
      <c r="G26" s="7">
        <f>E26-F26</f>
        <v/>
      </c>
      <c r="H26" s="8">
        <f>IF(E26=0,0,(G26/E26))</f>
        <v/>
      </c>
    </row>
    <row r="27">
      <c r="A27" s="4" t="inlineStr">
        <is>
          <t>Mejoras técnicas sin coste (valorización)</t>
        </is>
      </c>
      <c r="B27" s="5" t="inlineStr">
        <is>
          <t>ud</t>
        </is>
      </c>
      <c r="C27" s="6" t="n">
        <v>1</v>
      </c>
      <c r="D27" s="7" t="n">
        <v>0</v>
      </c>
      <c r="E27" s="7">
        <f>C27*D27</f>
        <v/>
      </c>
      <c r="F27" s="7">
        <f>C27*0</f>
        <v/>
      </c>
      <c r="G27" s="7">
        <f>E27-F27</f>
        <v/>
      </c>
      <c r="H27" s="8">
        <f>IF(E27=0,0,(G27/E27))</f>
        <v/>
      </c>
    </row>
    <row r="29">
      <c r="A29" s="9" t="inlineStr">
        <is>
          <t>TOTAL OFERTA</t>
        </is>
      </c>
      <c r="E29" s="10">
        <f>SUM(E8:E27)</f>
        <v/>
      </c>
      <c r="F29" s="10">
        <f>SUM(F8:F27)</f>
        <v/>
      </c>
      <c r="G29" s="10">
        <f>SUM(G8:G27)</f>
        <v/>
      </c>
      <c r="H29" s="11">
        <f>G29/E29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2026-04-19T20:51:35Z</dcterms:created>
  <dcterms:modified xmlns:dcterms="http://purl.org/dc/terms/" xmlns:xsi="http://www.w3.org/2001/XMLSchema-instance" xsi:type="dcterms:W3CDTF">2026-04-19T20:51:35Z</dcterms:modified>
</cp:coreProperties>
</file>