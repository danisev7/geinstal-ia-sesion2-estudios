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aci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D4E8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8" customWidth="1" min="3" max="3"/>
    <col width="15" customWidth="1" min="4" max="4"/>
    <col width="15" customWidth="1" min="5" max="5"/>
    <col width="15" customWidth="1" min="6" max="6"/>
    <col width="10" customWidth="1" min="7" max="7"/>
  </cols>
  <sheetData>
    <row r="1" ht="28" customHeight="1">
      <c r="A1" s="1" t="inlineStr">
        <is>
          <t>UNIVERSITAT AUTÒNOMA DE BARCELONA · Valoració oferta · Primer trimestre 2026</t>
        </is>
      </c>
    </row>
    <row r="3">
      <c r="A3" s="2" t="inlineStr">
        <is>
          <t>Client:</t>
        </is>
      </c>
      <c r="B3" t="inlineStr">
        <is>
          <t>UAB — Edifici B (Facultat de Ciències)</t>
        </is>
      </c>
    </row>
    <row r="4">
      <c r="A4" s="2" t="inlineStr">
        <is>
          <t>Referència interna:</t>
        </is>
      </c>
      <c r="B4" t="inlineStr">
        <is>
          <t>GI-UAB-2026-001</t>
        </is>
      </c>
    </row>
    <row r="5">
      <c r="A5" s="2" t="inlineStr">
        <is>
          <t>Data:</t>
        </is>
      </c>
      <c r="B5" t="inlineStr">
        <is>
          <t>28/03/2026</t>
        </is>
      </c>
    </row>
    <row r="7">
      <c r="A7" s="3" t="inlineStr">
        <is>
          <t>Concepte</t>
        </is>
      </c>
      <c r="B7" s="3" t="inlineStr">
        <is>
          <t>Preu €/ut</t>
        </is>
      </c>
      <c r="C7" s="3" t="inlineStr">
        <is>
          <t>Uts</t>
        </is>
      </c>
      <c r="D7" s="3" t="inlineStr">
        <is>
          <t>Subtotal (€)</t>
        </is>
      </c>
      <c r="E7" s="3" t="inlineStr">
        <is>
          <t>Cost intern (€)</t>
        </is>
      </c>
      <c r="F7" s="3" t="inlineStr">
        <is>
          <t>Marge (€)</t>
        </is>
      </c>
      <c r="G7" s="3" t="inlineStr">
        <is>
          <t>Marge (%)</t>
        </is>
      </c>
    </row>
    <row r="8">
      <c r="A8" s="4" t="inlineStr">
        <is>
          <t>Manteniment preventiu clima aulari (6 UTAs)</t>
        </is>
      </c>
      <c r="B8" s="5" t="n">
        <v>4200</v>
      </c>
      <c r="C8" s="6" t="n">
        <v>1</v>
      </c>
      <c r="D8" s="5">
        <f>B8*C8</f>
        <v/>
      </c>
      <c r="E8" s="5">
        <f>C8*2800</f>
        <v/>
      </c>
      <c r="F8" s="5">
        <f>D8-E8</f>
        <v/>
      </c>
      <c r="G8" s="7">
        <f>IF(D8=0,0,F8/D8)</f>
        <v/>
      </c>
    </row>
    <row r="9">
      <c r="A9" s="4" t="inlineStr">
        <is>
          <t>Revisió semestral filtres i ventiladors</t>
        </is>
      </c>
      <c r="B9" s="5" t="n">
        <v>850</v>
      </c>
      <c r="C9" s="6" t="n">
        <v>2</v>
      </c>
      <c r="D9" s="5">
        <f>B9*C9</f>
        <v/>
      </c>
      <c r="E9" s="5">
        <f>C9*540</f>
        <v/>
      </c>
      <c r="F9" s="5">
        <f>D9-E9</f>
        <v/>
      </c>
      <c r="G9" s="7">
        <f>IF(D9=0,0,F9/D9)</f>
        <v/>
      </c>
    </row>
    <row r="10">
      <c r="A10" s="4" t="inlineStr">
        <is>
          <t>Correctius de clima — paquet anual</t>
        </is>
      </c>
      <c r="B10" s="5" t="n">
        <v>11500</v>
      </c>
      <c r="C10" s="6" t="n">
        <v>1</v>
      </c>
      <c r="D10" s="5">
        <f>B10*C10</f>
        <v/>
      </c>
      <c r="E10" s="5">
        <f>C10*7800</f>
        <v/>
      </c>
      <c r="F10" s="5">
        <f>D10-E10</f>
        <v/>
      </c>
      <c r="G10" s="7">
        <f>IF(D10=0,0,F10/D10)</f>
        <v/>
      </c>
    </row>
    <row r="11">
      <c r="A11" s="4" t="inlineStr">
        <is>
          <t>Manteniment d'enllumenat d'emergència (4 edificis)</t>
        </is>
      </c>
      <c r="B11" s="5" t="n">
        <v>3200</v>
      </c>
      <c r="C11" s="6" t="n">
        <v>1</v>
      </c>
      <c r="D11" s="5">
        <f>B11*C11</f>
        <v/>
      </c>
      <c r="E11" s="5">
        <f>C11*2100</f>
        <v/>
      </c>
      <c r="F11" s="5">
        <f>D11-E11</f>
        <v/>
      </c>
      <c r="G11" s="7">
        <f>IF(D11=0,0,F11/D11)</f>
        <v/>
      </c>
    </row>
    <row r="12">
      <c r="A12" s="4" t="inlineStr">
        <is>
          <t>Inspecció anual RITE</t>
        </is>
      </c>
      <c r="B12" s="5" t="n">
        <v>1200</v>
      </c>
      <c r="C12" s="6" t="n">
        <v>1</v>
      </c>
      <c r="D12" s="5">
        <f>B12*C12</f>
        <v/>
      </c>
      <c r="E12" s="5">
        <f>C12*780</f>
        <v/>
      </c>
      <c r="F12" s="5">
        <f>D12-E12</f>
        <v/>
      </c>
      <c r="G12" s="7">
        <f>IF(D12=0,0,F12/D12)</f>
        <v/>
      </c>
    </row>
    <row r="13">
      <c r="A13" s="4" t="inlineStr">
        <is>
          <t>Atenció 24/7 guàrdia local</t>
        </is>
      </c>
      <c r="B13" s="5" t="n">
        <v>8400</v>
      </c>
      <c r="C13" s="6" t="n">
        <v>1</v>
      </c>
      <c r="D13" s="5">
        <f>B13*C13</f>
        <v/>
      </c>
      <c r="E13" s="5">
        <f>C13*5600</f>
        <v/>
      </c>
      <c r="F13" s="5">
        <f>D13-E13</f>
        <v/>
      </c>
      <c r="G13" s="7">
        <f>IF(D13=0,0,F13/D13)</f>
        <v/>
      </c>
    </row>
    <row r="14">
      <c r="A14" s="4" t="inlineStr">
        <is>
          <t>Substitució puntual de compressors (3 uds prev.)</t>
        </is>
      </c>
      <c r="B14" s="5" t="n">
        <v>4500</v>
      </c>
      <c r="C14" s="6" t="n">
        <v>3</v>
      </c>
      <c r="D14" s="5">
        <f>B14*C14</f>
        <v/>
      </c>
      <c r="E14" s="5">
        <f>C14*3200</f>
        <v/>
      </c>
      <c r="F14" s="5">
        <f>D14-E14</f>
        <v/>
      </c>
      <c r="G14" s="7">
        <f>IF(D14=0,0,F14/D14)</f>
        <v/>
      </c>
    </row>
    <row r="15">
      <c r="A15" s="4" t="inlineStr">
        <is>
          <t>Anàlisi Legionella ACS biblioteca</t>
        </is>
      </c>
      <c r="B15" s="5" t="n">
        <v>480</v>
      </c>
      <c r="C15" s="6" t="n">
        <v>4</v>
      </c>
      <c r="D15" s="5">
        <f>B15*C15</f>
        <v/>
      </c>
      <c r="E15" s="5">
        <f>C15*290</f>
        <v/>
      </c>
      <c r="F15" s="5">
        <f>D15-E15</f>
        <v/>
      </c>
      <c r="G15" s="7">
        <f>IF(D15=0,0,F15/D15)</f>
        <v/>
      </c>
    </row>
    <row r="16">
      <c r="A16" s="4" t="inlineStr">
        <is>
          <t>Material consumible (anual)</t>
        </is>
      </c>
      <c r="B16" s="5" t="n">
        <v>2400</v>
      </c>
      <c r="C16" s="6" t="n">
        <v>1</v>
      </c>
      <c r="D16" s="5">
        <f>B16*C16</f>
        <v/>
      </c>
      <c r="E16" s="5">
        <f>C16*1800</f>
        <v/>
      </c>
      <c r="F16" s="5">
        <f>D16-E16</f>
        <v/>
      </c>
      <c r="G16" s="7">
        <f>IF(D16=0,0,F16/D16)</f>
        <v/>
      </c>
    </row>
    <row r="17">
      <c r="A17" s="4" t="inlineStr">
        <is>
          <t>Gestió documental (informe mensual)</t>
        </is>
      </c>
      <c r="B17" s="5" t="n">
        <v>380</v>
      </c>
      <c r="C17" s="6" t="n">
        <v>12</v>
      </c>
      <c r="D17" s="5">
        <f>B17*C17</f>
        <v/>
      </c>
      <c r="E17" s="5">
        <f>C17*140</f>
        <v/>
      </c>
      <c r="F17" s="5">
        <f>D17-E17</f>
        <v/>
      </c>
      <c r="G17" s="7">
        <f>IF(D17=0,0,F17/D17)</f>
        <v/>
      </c>
    </row>
    <row r="18">
      <c r="A18" s="4" t="inlineStr">
        <is>
          <t>Coordinació amb OCA elèctrica</t>
        </is>
      </c>
      <c r="B18" s="5" t="n">
        <v>1800</v>
      </c>
      <c r="C18" s="6" t="n">
        <v>1</v>
      </c>
      <c r="D18" s="5">
        <f>B18*C18</f>
        <v/>
      </c>
      <c r="E18" s="5">
        <f>C18*1200</f>
        <v/>
      </c>
      <c r="F18" s="5">
        <f>D18-E18</f>
        <v/>
      </c>
      <c r="G18" s="7">
        <f>IF(D18=0,0,F18/D18)</f>
        <v/>
      </c>
    </row>
    <row r="19">
      <c r="A19" s="4" t="inlineStr">
        <is>
          <t>Formació al personal de manteniment UAB</t>
        </is>
      </c>
      <c r="B19" s="5" t="n">
        <v>1500</v>
      </c>
      <c r="C19" s="6" t="n">
        <v>1</v>
      </c>
      <c r="D19" s="5">
        <f>B19*C19</f>
        <v/>
      </c>
      <c r="E19" s="5">
        <f>C19*680</f>
        <v/>
      </c>
      <c r="F19" s="5">
        <f>D19-E19</f>
        <v/>
      </c>
      <c r="G19" s="7">
        <f>IF(D19=0,0,F19/D19)</f>
        <v/>
      </c>
    </row>
    <row r="20">
      <c r="A20" s="4" t="inlineStr">
        <is>
          <t>Desplaçaments Campus Bellaterra (paquet anual)</t>
        </is>
      </c>
      <c r="B20" s="5" t="n">
        <v>2800</v>
      </c>
      <c r="C20" s="6" t="n">
        <v>1</v>
      </c>
      <c r="D20" s="5">
        <f>B20*C20</f>
        <v/>
      </c>
      <c r="E20" s="5">
        <f>C20*2800</f>
        <v/>
      </c>
      <c r="F20" s="5">
        <f>D20-E20</f>
        <v/>
      </c>
      <c r="G20" s="7">
        <f>IF(D20=0,0,F20/D20)</f>
        <v/>
      </c>
    </row>
    <row r="21">
      <c r="A21" s="4" t="inlineStr">
        <is>
          <t>Reserva per imprevistos (10%)</t>
        </is>
      </c>
      <c r="B21" s="5" t="n">
        <v>5400</v>
      </c>
      <c r="C21" s="6" t="n">
        <v>1</v>
      </c>
      <c r="D21" s="5">
        <f>B21*C21</f>
        <v/>
      </c>
      <c r="E21" s="5">
        <f>C21*4200</f>
        <v/>
      </c>
      <c r="F21" s="5">
        <f>D21-E21</f>
        <v/>
      </c>
      <c r="G21" s="7">
        <f>IF(D21=0,0,F21/D21)</f>
        <v/>
      </c>
    </row>
    <row r="23">
      <c r="A23" s="8" t="inlineStr">
        <is>
          <t>TOTAL</t>
        </is>
      </c>
      <c r="D23" s="9">
        <f>SUM(D8:D21)</f>
        <v/>
      </c>
      <c r="E23" s="9">
        <f>SUM(E8:E21)</f>
        <v/>
      </c>
      <c r="F23" s="9">
        <f>SUM(F8:F21)</f>
        <v/>
      </c>
      <c r="G23" s="10">
        <f>F23/D23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2026-04-19T20:51:35Z</dcterms:created>
  <dcterms:modified xmlns:dcterms="http://purl.org/dc/terms/" xmlns:xsi="http://www.w3.org/2001/XMLSchema-instance" xsi:type="dcterms:W3CDTF">2026-04-19T20:51:35Z</dcterms:modified>
</cp:coreProperties>
</file>