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1. Climatización" sheetId="2" state="visible" r:id="rId2"/>
    <sheet xmlns:r="http://schemas.openxmlformats.org/officeDocument/2006/relationships" name="2. Electricidad" sheetId="3" state="visible" r:id="rId3"/>
    <sheet xmlns:r="http://schemas.openxmlformats.org/officeDocument/2006/relationships" name="3. PCI" sheetId="4" state="visible" r:id="rId4"/>
    <sheet xmlns:r="http://schemas.openxmlformats.org/officeDocument/2006/relationships" name="4. Fontanería" sheetId="5" state="visible" r:id="rId5"/>
    <sheet xmlns:r="http://schemas.openxmlformats.org/officeDocument/2006/relationships" name="5. Elevadores" sheetId="6" state="visible" r:id="rId6"/>
    <sheet xmlns:r="http://schemas.openxmlformats.org/officeDocument/2006/relationships" name="6. Equipos especiales" sheetId="7" state="visible" r:id="rId7"/>
    <sheet xmlns:r="http://schemas.openxmlformats.org/officeDocument/2006/relationships" name="7. Personal adscrito" sheetId="8" state="visible" r:id="rId8"/>
    <sheet xmlns:r="http://schemas.openxmlformats.org/officeDocument/2006/relationships" name="8. Mejoras opcional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15">
    <font>
      <name val="Calibri"/>
      <family val="2"/>
      <color theme="1"/>
      <sz val="11"/>
      <scheme val="minor"/>
    </font>
    <font>
      <name val="Calibri"/>
      <b val="1"/>
      <color rgb="FF1E4D8C"/>
      <sz val="10"/>
    </font>
    <font>
      <name val="Calibri"/>
      <b val="1"/>
      <color rgb="FF1E4D8C"/>
      <sz val="15"/>
    </font>
    <font>
      <name val="Calibri"/>
      <i val="1"/>
      <color rgb="FF78716C"/>
      <sz val="9"/>
    </font>
    <font>
      <name val="Calibri"/>
      <b val="1"/>
      <color rgb="FFFFFFFF"/>
      <sz val="11"/>
    </font>
    <font>
      <name val="Calibri"/>
      <sz val="9.5"/>
    </font>
    <font>
      <name val="Calibri"/>
      <b val="1"/>
      <color rgb="FF1E4D8C"/>
      <sz val="11"/>
    </font>
    <font>
      <name val="Calibri"/>
      <b val="1"/>
      <color rgb="FF1E4D8C"/>
      <sz val="18"/>
    </font>
    <font>
      <name val="Calibri"/>
      <b val="1"/>
      <color rgb="FF1E4D8C"/>
      <sz val="14"/>
    </font>
    <font>
      <name val="Calibri"/>
      <i val="1"/>
      <color rgb="FF44403C"/>
      <sz val="11"/>
    </font>
    <font>
      <name val="Calibri"/>
      <sz val="10"/>
    </font>
    <font>
      <name val="Calibri"/>
      <b val="1"/>
      <color rgb="FFC2410C"/>
      <sz val="11"/>
    </font>
    <font>
      <name val="Calibri"/>
      <i val="1"/>
      <sz val="10"/>
    </font>
    <font>
      <name val="Calibri"/>
      <b val="1"/>
      <sz val="10"/>
    </font>
    <font>
      <name val="Calibri"/>
      <b val="1"/>
      <color rgb="FFFFFFFF"/>
      <sz val="12"/>
    </font>
  </fonts>
  <fills count="6">
    <fill>
      <patternFill/>
    </fill>
    <fill>
      <patternFill patternType="gray125"/>
    </fill>
    <fill>
      <patternFill patternType="solid">
        <fgColor rgb="FF1E4D8C"/>
      </patternFill>
    </fill>
    <fill>
      <patternFill patternType="solid">
        <fgColor rgb="FFFFF2CC"/>
      </patternFill>
    </fill>
    <fill>
      <patternFill patternType="solid">
        <fgColor rgb="FFDDE5EF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medium">
        <color rgb="FF000000"/>
      </top>
      <bottom style="medium">
        <color rgb="FF000000"/>
      </bottom>
    </border>
    <border/>
  </borders>
  <cellStyleXfs count="1">
    <xf numFmtId="0" fontId="0" fillId="0" borderId="0"/>
  </cellStyleXfs>
  <cellXfs count="30">
    <xf numFmtId="0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/>
    </xf>
    <xf numFmtId="0" fontId="10" fillId="0" borderId="1" pivotButton="0" quotePrefix="0" xfId="0"/>
    <xf numFmtId="0" fontId="0" fillId="0" borderId="1" pivotButton="0" quotePrefix="0" xfId="0"/>
    <xf numFmtId="164" fontId="10" fillId="0" borderId="1" applyAlignment="1" pivotButton="0" quotePrefix="0" xfId="0">
      <alignment horizontal="right"/>
    </xf>
    <xf numFmtId="0" fontId="14" fillId="2" borderId="2" pivotButton="0" quotePrefix="0" xfId="0"/>
    <xf numFmtId="0" fontId="0" fillId="0" borderId="2" pivotButton="0" quotePrefix="0" xfId="0"/>
    <xf numFmtId="164" fontId="14" fillId="2" borderId="2" applyAlignment="1" pivotButton="0" quotePrefix="0" xfId="0">
      <alignment horizontal="right"/>
    </xf>
    <xf numFmtId="0" fontId="6" fillId="0" borderId="1" pivotButton="0" quotePrefix="0" xfId="0"/>
    <xf numFmtId="164" fontId="6" fillId="0" borderId="1" applyAlignment="1" pivotButton="0" quotePrefix="0" xfId="0">
      <alignment horizontal="right"/>
    </xf>
    <xf numFmtId="0" fontId="2" fillId="0" borderId="0" pivotButton="0" quotePrefix="0" xfId="0"/>
    <xf numFmtId="0" fontId="3" fillId="0" borderId="0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right" vertical="center"/>
    </xf>
    <xf numFmtId="164" fontId="5" fillId="3" borderId="1" applyAlignment="1" pivotButton="0" quotePrefix="0" xfId="0">
      <alignment horizontal="right" vertical="center"/>
    </xf>
    <xf numFmtId="0" fontId="6" fillId="4" borderId="2" applyAlignment="1" pivotButton="0" quotePrefix="0" xfId="0">
      <alignment horizontal="right" vertical="center"/>
    </xf>
    <xf numFmtId="164" fontId="6" fillId="4" borderId="2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0" fontId="6" fillId="5" borderId="3" applyAlignment="1" pivotButton="0" quotePrefix="0" xfId="0">
      <alignment horizontal="right" vertical="center"/>
    </xf>
    <xf numFmtId="164" fontId="6" fillId="5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38" customWidth="1" min="1" max="1"/>
    <col width="25" customWidth="1" min="2" max="2"/>
    <col width="10" customWidth="1" min="3" max="3"/>
    <col width="10" customWidth="1" min="4" max="4"/>
    <col width="10" customWidth="1" min="5" max="5"/>
    <col width="22" customWidth="1" min="6" max="6"/>
  </cols>
  <sheetData>
    <row r="1" ht="26" customHeight="1">
      <c r="A1" s="1" t="inlineStr">
        <is>
          <t>OFERTA TÉCNICO-ECONÓMICA</t>
        </is>
      </c>
    </row>
    <row r="2" ht="20" customHeight="1">
      <c r="A2" s="2" t="inlineStr">
        <is>
          <t>Hospital Universitari Vall d'Hebron</t>
        </is>
      </c>
    </row>
    <row r="3">
      <c r="A3" s="3" t="inlineStr">
        <is>
          <t>Mantenimiento integral de instalaciones · Bloque General + Torre Infantil + Pediatría</t>
        </is>
      </c>
    </row>
    <row r="5">
      <c r="A5" s="4" t="inlineStr">
        <is>
          <t>Expediente:</t>
        </is>
      </c>
      <c r="B5" s="5" t="inlineStr">
        <is>
          <t>HUV-2026-MANT-INT</t>
        </is>
      </c>
    </row>
    <row r="6">
      <c r="A6" s="4" t="inlineStr">
        <is>
          <t>Duración del contrato:</t>
        </is>
      </c>
      <c r="B6" s="5" t="inlineStr">
        <is>
          <t>24 meses (prorrogables 24 adicionales)</t>
        </is>
      </c>
    </row>
    <row r="7">
      <c r="A7" s="4" t="inlineStr">
        <is>
          <t>Fecha límite licitación:</t>
        </is>
      </c>
      <c r="B7" s="5" t="inlineStr">
        <is>
          <t>30 de junio de 2026</t>
        </is>
      </c>
    </row>
    <row r="8">
      <c r="A8" s="4" t="inlineStr">
        <is>
          <t>Presupuesto máximo anual:</t>
        </is>
      </c>
      <c r="B8" s="5" t="inlineStr">
        <is>
          <t>2.850.000,00 €</t>
        </is>
      </c>
    </row>
    <row r="9">
      <c r="A9" s="4" t="inlineStr">
        <is>
          <t>Superficie:</t>
        </is>
      </c>
      <c r="B9" s="5" t="inlineStr">
        <is>
          <t>180.000 m² en 9 edificios</t>
        </is>
      </c>
    </row>
    <row r="11">
      <c r="A11" s="6" t="inlineStr">
        <is>
          <t>INSTRUCCIONES AL LICITADOR</t>
        </is>
      </c>
    </row>
    <row r="12">
      <c r="A12" s="7" t="inlineStr">
        <is>
          <t>Rellene únicamente las columnas en amarillo (precios unitarios). El resto se recalcula automáticamente.</t>
        </is>
      </c>
    </row>
    <row r="14">
      <c r="A14" s="8" t="inlineStr">
        <is>
          <t>Cap.</t>
        </is>
      </c>
      <c r="B14" s="8" t="inlineStr">
        <is>
          <t>Descripción</t>
        </is>
      </c>
      <c r="C14" s="8" t="inlineStr"/>
      <c r="D14" s="8" t="inlineStr"/>
      <c r="E14" s="8" t="inlineStr"/>
      <c r="F14" s="8" t="inlineStr">
        <is>
          <t>Subtotal anual (€)</t>
        </is>
      </c>
    </row>
    <row r="15">
      <c r="A15" s="9" t="inlineStr">
        <is>
          <t>1</t>
        </is>
      </c>
      <c r="B15" s="10" t="inlineStr">
        <is>
          <t>Climatización (HVAC)</t>
        </is>
      </c>
      <c r="C15" s="11" t="n"/>
      <c r="D15" s="11" t="n"/>
      <c r="E15" s="11" t="n"/>
      <c r="F15" s="12">
        <f>'1. Climatización'!G52</f>
        <v/>
      </c>
    </row>
    <row r="16">
      <c r="A16" s="9" t="inlineStr">
        <is>
          <t>2</t>
        </is>
      </c>
      <c r="B16" s="10" t="inlineStr">
        <is>
          <t>Electricidad y BT</t>
        </is>
      </c>
      <c r="C16" s="11" t="n"/>
      <c r="D16" s="11" t="n"/>
      <c r="E16" s="11" t="n"/>
      <c r="F16" s="12">
        <f>'2. Electricidad'!G42</f>
        <v/>
      </c>
    </row>
    <row r="17">
      <c r="A17" s="9" t="inlineStr">
        <is>
          <t>3</t>
        </is>
      </c>
      <c r="B17" s="10" t="inlineStr">
        <is>
          <t>Protección contra incendios (PCI)</t>
        </is>
      </c>
      <c r="C17" s="11" t="n"/>
      <c r="D17" s="11" t="n"/>
      <c r="E17" s="11" t="n"/>
      <c r="F17" s="12">
        <f>'3. PCI'!G32</f>
        <v/>
      </c>
    </row>
    <row r="18">
      <c r="A18" s="9" t="inlineStr">
        <is>
          <t>4</t>
        </is>
      </c>
      <c r="B18" s="10" t="inlineStr">
        <is>
          <t>Fontanería y ACS</t>
        </is>
      </c>
      <c r="C18" s="11" t="n"/>
      <c r="D18" s="11" t="n"/>
      <c r="E18" s="11" t="n"/>
      <c r="F18" s="12">
        <f>'4. Fontanería'!G27</f>
        <v/>
      </c>
    </row>
    <row r="19">
      <c r="A19" s="9" t="inlineStr">
        <is>
          <t>5</t>
        </is>
      </c>
      <c r="B19" s="10" t="inlineStr">
        <is>
          <t>Aparatos elevadores</t>
        </is>
      </c>
      <c r="C19" s="11" t="n"/>
      <c r="D19" s="11" t="n"/>
      <c r="E19" s="11" t="n"/>
      <c r="F19" s="12">
        <f>'5. Elevadores'!G19</f>
        <v/>
      </c>
    </row>
    <row r="20">
      <c r="A20" s="9" t="inlineStr">
        <is>
          <t>6</t>
        </is>
      </c>
      <c r="B20" s="10" t="inlineStr">
        <is>
          <t>Equipos especiales y singulares</t>
        </is>
      </c>
      <c r="C20" s="11" t="n"/>
      <c r="D20" s="11" t="n"/>
      <c r="E20" s="11" t="n"/>
      <c r="F20" s="12">
        <f>'6. Equipos especiales'!G25</f>
        <v/>
      </c>
    </row>
    <row r="21">
      <c r="A21" s="9" t="inlineStr">
        <is>
          <t>7</t>
        </is>
      </c>
      <c r="B21" s="10" t="inlineStr">
        <is>
          <t>Personal adscrito</t>
        </is>
      </c>
      <c r="C21" s="11" t="n"/>
      <c r="D21" s="11" t="n"/>
      <c r="E21" s="11" t="n"/>
      <c r="F21" s="12">
        <f>'7. Personal adscrito'!E19</f>
        <v/>
      </c>
    </row>
    <row r="22">
      <c r="A22" s="9" t="inlineStr">
        <is>
          <t>8</t>
        </is>
      </c>
      <c r="B22" s="10" t="inlineStr">
        <is>
          <t>Mejoras opcionales</t>
        </is>
      </c>
      <c r="C22" s="11" t="n"/>
      <c r="D22" s="11" t="n"/>
      <c r="E22" s="11" t="n"/>
      <c r="F22" s="12">
        <f>'8. Mejoras opcionales'!F17</f>
        <v/>
      </c>
    </row>
    <row r="24">
      <c r="A24" s="13" t="inlineStr">
        <is>
          <t>TOTAL OFERTA ANUAL (€)</t>
        </is>
      </c>
      <c r="B24" s="14" t="n"/>
      <c r="C24" s="14" t="n"/>
      <c r="D24" s="14" t="n"/>
      <c r="E24" s="14" t="n"/>
      <c r="F24" s="15">
        <f>SUM(F15:F22)</f>
        <v/>
      </c>
    </row>
    <row r="25">
      <c r="A25" s="16" t="inlineStr">
        <is>
          <t>TOTAL OFERTA CONTRATO COMPLETO (24 meses) (€)</t>
        </is>
      </c>
      <c r="B25" s="11" t="n"/>
      <c r="C25" s="11" t="n"/>
      <c r="D25" s="11" t="n"/>
      <c r="E25" s="11" t="n"/>
      <c r="F25" s="17">
        <f>F24*2</f>
        <v/>
      </c>
    </row>
  </sheetData>
  <mergeCells count="20">
    <mergeCell ref="B7:F7"/>
    <mergeCell ref="A24:E24"/>
    <mergeCell ref="B15:E15"/>
    <mergeCell ref="A12:F12"/>
    <mergeCell ref="B20:E20"/>
    <mergeCell ref="A3:F3"/>
    <mergeCell ref="A2:F2"/>
    <mergeCell ref="A25:E25"/>
    <mergeCell ref="B16:E16"/>
    <mergeCell ref="B8:F8"/>
    <mergeCell ref="B22:E22"/>
    <mergeCell ref="B18:E18"/>
    <mergeCell ref="B21:E21"/>
    <mergeCell ref="B9:F9"/>
    <mergeCell ref="A11:F11"/>
    <mergeCell ref="B17:E17"/>
    <mergeCell ref="B6:F6"/>
    <mergeCell ref="A1:F1"/>
    <mergeCell ref="B5:F5"/>
    <mergeCell ref="B19:E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55" customWidth="1" min="2" max="2"/>
    <col width="10" customWidth="1" min="3" max="3"/>
    <col width="13" customWidth="1" min="4" max="4"/>
    <col width="14" customWidth="1" min="5" max="5"/>
    <col width="18" customWidth="1" min="6" max="6"/>
    <col width="16" customWidth="1" min="7" max="7"/>
    <col width="30" customWidth="1" min="8" max="8"/>
  </cols>
  <sheetData>
    <row r="1">
      <c r="A1" s="4" t="inlineStr">
        <is>
          <t>CAPÍTULO 1</t>
        </is>
      </c>
    </row>
    <row r="2" ht="22" customHeight="1">
      <c r="A2" s="18" t="inlineStr">
        <is>
          <t>CLIMATIZACIÓN (HVAC)</t>
        </is>
      </c>
    </row>
    <row r="3">
      <c r="A3" s="19" t="inlineStr">
        <is>
          <t>Cliente: Hospital Universitari Vall d'Hebron — Expediente: HUV-2026-MANT-INT</t>
        </is>
      </c>
    </row>
    <row r="5">
      <c r="A5" s="8" t="inlineStr">
        <is>
          <t>Código</t>
        </is>
      </c>
      <c r="B5" s="8" t="inlineStr">
        <is>
          <t>Descripción</t>
        </is>
      </c>
      <c r="C5" s="8" t="inlineStr">
        <is>
          <t>Unidad</t>
        </is>
      </c>
      <c r="D5" s="8" t="inlineStr">
        <is>
          <t>Cantidad anual</t>
        </is>
      </c>
      <c r="E5" s="8" t="inlineStr">
        <is>
          <t>Frecuencia</t>
        </is>
      </c>
      <c r="F5" s="8" t="inlineStr">
        <is>
          <t>Precio unitario oferta (€)</t>
        </is>
      </c>
      <c r="G5" s="8" t="inlineStr">
        <is>
          <t>Total (€)</t>
        </is>
      </c>
      <c r="H5" s="8" t="inlineStr">
        <is>
          <t>Observaciones cliente</t>
        </is>
      </c>
    </row>
    <row r="6">
      <c r="A6" s="20" t="inlineStr">
        <is>
          <t>P-HVAC-001</t>
        </is>
      </c>
      <c r="B6" s="21" t="inlineStr">
        <is>
          <t>Revisión mensual enfriadora agua-aire 500 kW Carrier 30XA</t>
        </is>
      </c>
      <c r="C6" s="20" t="inlineStr">
        <is>
          <t>ud</t>
        </is>
      </c>
      <c r="D6" s="20" t="n">
        <v>24</v>
      </c>
      <c r="E6" s="20" t="inlineStr">
        <is>
          <t>mensual</t>
        </is>
      </c>
      <c r="F6" s="22" t="n"/>
      <c r="G6" s="23">
        <f>IFERROR(D6*F6,"")</f>
        <v/>
      </c>
      <c r="H6" s="21" t="inlineStr">
        <is>
          <t>2 enfriadoras × 12 meses</t>
        </is>
      </c>
    </row>
    <row r="7">
      <c r="A7" s="20" t="inlineStr">
        <is>
          <t>P-HVAC-002</t>
        </is>
      </c>
      <c r="B7" s="21" t="inlineStr">
        <is>
          <t>Revisión mensual climatizador primario área asistencial</t>
        </is>
      </c>
      <c r="C7" s="20" t="inlineStr">
        <is>
          <t>ud</t>
        </is>
      </c>
      <c r="D7" s="20" t="n">
        <v>144</v>
      </c>
      <c r="E7" s="20" t="inlineStr">
        <is>
          <t>mensual</t>
        </is>
      </c>
      <c r="F7" s="22" t="n"/>
      <c r="G7" s="23">
        <f>IFERROR(D7*F7,"")</f>
        <v/>
      </c>
      <c r="H7" s="21" t="inlineStr">
        <is>
          <t>12 climatizadores × 12 meses</t>
        </is>
      </c>
    </row>
    <row r="8">
      <c r="A8" s="20" t="inlineStr">
        <is>
          <t>P-HVAC-003</t>
        </is>
      </c>
      <c r="B8" s="21" t="inlineStr">
        <is>
          <t>Limpieza filtros climatizador zona administrativa</t>
        </is>
      </c>
      <c r="C8" s="20" t="inlineStr">
        <is>
          <t>ud</t>
        </is>
      </c>
      <c r="D8" s="20" t="n">
        <v>96</v>
      </c>
      <c r="E8" s="20" t="inlineStr">
        <is>
          <t>mensual</t>
        </is>
      </c>
      <c r="F8" s="22" t="n"/>
      <c r="G8" s="23">
        <f>IFERROR(D8*F8,"")</f>
        <v/>
      </c>
      <c r="H8" s="21" t="inlineStr">
        <is>
          <t>8 equipos × 12 meses</t>
        </is>
      </c>
    </row>
    <row r="9">
      <c r="A9" s="20" t="inlineStr">
        <is>
          <t>P-HVAC-004</t>
        </is>
      </c>
      <c r="B9" s="21" t="inlineStr">
        <is>
          <t>Limpieza filtros climatizador zona quirúrgica</t>
        </is>
      </c>
      <c r="C9" s="20" t="inlineStr">
        <is>
          <t>ud</t>
        </is>
      </c>
      <c r="D9" s="20" t="n">
        <v>144</v>
      </c>
      <c r="E9" s="20" t="inlineStr">
        <is>
          <t>mensual</t>
        </is>
      </c>
      <c r="F9" s="22" t="n"/>
      <c r="G9" s="23">
        <f>IFERROR(D9*F9,"")</f>
        <v/>
      </c>
      <c r="H9" s="21" t="inlineStr">
        <is>
          <t>Frecuencia reforzada zona crítica</t>
        </is>
      </c>
    </row>
    <row r="10">
      <c r="A10" s="20" t="inlineStr">
        <is>
          <t>P-HVAC-005</t>
        </is>
      </c>
      <c r="B10" s="21" t="inlineStr">
        <is>
          <t>Inspección sistema VRV plantas 1-4 Bloque General</t>
        </is>
      </c>
      <c r="C10" s="20" t="inlineStr">
        <is>
          <t>ud</t>
        </is>
      </c>
      <c r="D10" s="20" t="n">
        <v>48</v>
      </c>
      <c r="E10" s="20" t="inlineStr">
        <is>
          <t>mensual</t>
        </is>
      </c>
      <c r="F10" s="22" t="n"/>
      <c r="G10" s="23">
        <f>IFERROR(D10*F10,"")</f>
        <v/>
      </c>
      <c r="H10" s="21" t="inlineStr">
        <is>
          <t>4 plantas × 12 meses</t>
        </is>
      </c>
    </row>
    <row r="11">
      <c r="A11" s="20" t="inlineStr">
        <is>
          <t>P-HVAC-006</t>
        </is>
      </c>
      <c r="B11" s="21" t="inlineStr">
        <is>
          <t>Inspección sistema VRV Torre Infantil</t>
        </is>
      </c>
      <c r="C11" s="20" t="inlineStr">
        <is>
          <t>ud</t>
        </is>
      </c>
      <c r="D11" s="20" t="n">
        <v>60</v>
      </c>
      <c r="E11" s="20" t="inlineStr">
        <is>
          <t>mensual</t>
        </is>
      </c>
      <c r="F11" s="22" t="n"/>
      <c r="G11" s="23">
        <f>IFERROR(D11*F11,"")</f>
        <v/>
      </c>
      <c r="H11" s="21" t="inlineStr">
        <is>
          <t>5 plantas × 12 meses</t>
        </is>
      </c>
    </row>
    <row r="12">
      <c r="A12" s="20" t="inlineStr">
        <is>
          <t>P-HVAC-007</t>
        </is>
      </c>
      <c r="B12" s="21" t="inlineStr">
        <is>
          <t>Revisión bombas circulación agua fría primario</t>
        </is>
      </c>
      <c r="C12" s="20" t="inlineStr">
        <is>
          <t>ud</t>
        </is>
      </c>
      <c r="D12" s="20" t="n">
        <v>48</v>
      </c>
      <c r="E12" s="20" t="inlineStr">
        <is>
          <t>mensual</t>
        </is>
      </c>
      <c r="F12" s="22" t="n"/>
      <c r="G12" s="23">
        <f>IFERROR(D12*F12,"")</f>
        <v/>
      </c>
      <c r="H12" s="21" t="inlineStr">
        <is>
          <t>4 bombas × 12 meses</t>
        </is>
      </c>
    </row>
    <row r="13">
      <c r="A13" s="20" t="inlineStr">
        <is>
          <t>P-HVAC-008</t>
        </is>
      </c>
      <c r="B13" s="21" t="inlineStr">
        <is>
          <t>Revisión bombas circulación agua caliente secundario</t>
        </is>
      </c>
      <c r="C13" s="20" t="inlineStr">
        <is>
          <t>ud</t>
        </is>
      </c>
      <c r="D13" s="20" t="n">
        <v>36</v>
      </c>
      <c r="E13" s="20" t="inlineStr">
        <is>
          <t>mensual</t>
        </is>
      </c>
      <c r="F13" s="22" t="n"/>
      <c r="G13" s="23">
        <f>IFERROR(D13*F13,"")</f>
        <v/>
      </c>
      <c r="H13" s="21" t="inlineStr">
        <is>
          <t>3 bombas × 12 meses</t>
        </is>
      </c>
    </row>
    <row r="14">
      <c r="A14" s="20" t="inlineStr">
        <is>
          <t>P-HVAC-009</t>
        </is>
      </c>
      <c r="B14" s="21" t="inlineStr">
        <is>
          <t>Verificación torres de refrigeración — control Legionella</t>
        </is>
      </c>
      <c r="C14" s="20" t="inlineStr">
        <is>
          <t>ud</t>
        </is>
      </c>
      <c r="D14" s="20" t="n">
        <v>48</v>
      </c>
      <c r="E14" s="20" t="inlineStr">
        <is>
          <t>mensual</t>
        </is>
      </c>
      <c r="F14" s="22" t="n"/>
      <c r="G14" s="23">
        <f>IFERROR(D14*F14,"")</f>
        <v/>
      </c>
      <c r="H14" s="21" t="inlineStr">
        <is>
          <t>4 torres × 12 meses</t>
        </is>
      </c>
    </row>
    <row r="15">
      <c r="A15" s="20" t="inlineStr">
        <is>
          <t>P-HVAC-010</t>
        </is>
      </c>
      <c r="B15" s="21" t="inlineStr">
        <is>
          <t>Ronda diaria centro de control climatización</t>
        </is>
      </c>
      <c r="C15" s="20" t="inlineStr">
        <is>
          <t>ronda</t>
        </is>
      </c>
      <c r="D15" s="20" t="n">
        <v>365</v>
      </c>
      <c r="E15" s="20" t="inlineStr">
        <is>
          <t>diaria</t>
        </is>
      </c>
      <c r="F15" s="22" t="n"/>
      <c r="G15" s="23">
        <f>IFERROR(D15*F15,"")</f>
        <v/>
      </c>
      <c r="H15" s="21" t="inlineStr"/>
    </row>
    <row r="16">
      <c r="A16" s="20" t="inlineStr">
        <is>
          <t>P-HVAC-011</t>
        </is>
      </c>
      <c r="B16" s="21" t="inlineStr">
        <is>
          <t>Revisión completa torres refrigeración</t>
        </is>
      </c>
      <c r="C16" s="20" t="inlineStr">
        <is>
          <t>ud</t>
        </is>
      </c>
      <c r="D16" s="20" t="n">
        <v>16</v>
      </c>
      <c r="E16" s="20" t="inlineStr">
        <is>
          <t>trimestral</t>
        </is>
      </c>
      <c r="F16" s="22" t="n"/>
      <c r="G16" s="23">
        <f>IFERROR(D16*F16,"")</f>
        <v/>
      </c>
      <c r="H16" s="21" t="inlineStr">
        <is>
          <t>4 torres × 4 trimestres</t>
        </is>
      </c>
    </row>
    <row r="17">
      <c r="A17" s="20" t="inlineStr">
        <is>
          <t>P-HVAC-012</t>
        </is>
      </c>
      <c r="B17" s="21" t="inlineStr">
        <is>
          <t>Análisis químico agua circuitos refrigeración</t>
        </is>
      </c>
      <c r="C17" s="20" t="inlineStr">
        <is>
          <t>análisis</t>
        </is>
      </c>
      <c r="D17" s="20" t="n">
        <v>20</v>
      </c>
      <c r="E17" s="20" t="inlineStr">
        <is>
          <t>trimestral</t>
        </is>
      </c>
      <c r="F17" s="22" t="n"/>
      <c r="G17" s="23">
        <f>IFERROR(D17*F17,"")</f>
        <v/>
      </c>
      <c r="H17" s="21" t="inlineStr">
        <is>
          <t>5 circuitos × 4</t>
        </is>
      </c>
    </row>
    <row r="18">
      <c r="A18" s="20" t="inlineStr">
        <is>
          <t>P-HVAC-013</t>
        </is>
      </c>
      <c r="B18" s="21" t="inlineStr">
        <is>
          <t>Desinfección bandejas condensados</t>
        </is>
      </c>
      <c r="C18" s="20" t="inlineStr">
        <is>
          <t>ud</t>
        </is>
      </c>
      <c r="D18" s="20" t="n">
        <v>48</v>
      </c>
      <c r="E18" s="20" t="inlineStr">
        <is>
          <t>trimestral</t>
        </is>
      </c>
      <c r="F18" s="22" t="n"/>
      <c r="G18" s="23">
        <f>IFERROR(D18*F18,"")</f>
        <v/>
      </c>
      <c r="H18" s="21" t="inlineStr"/>
    </row>
    <row r="19">
      <c r="A19" s="20" t="inlineStr">
        <is>
          <t>P-HVAC-014</t>
        </is>
      </c>
      <c r="B19" s="21" t="inlineStr">
        <is>
          <t>Revisión compresores scroll unidades VRV</t>
        </is>
      </c>
      <c r="C19" s="20" t="inlineStr">
        <is>
          <t>ud</t>
        </is>
      </c>
      <c r="D19" s="20" t="n">
        <v>32</v>
      </c>
      <c r="E19" s="20" t="inlineStr">
        <is>
          <t>trimestral</t>
        </is>
      </c>
      <c r="F19" s="22" t="n"/>
      <c r="G19" s="23">
        <f>IFERROR(D19*F19,"")</f>
        <v/>
      </c>
      <c r="H19" s="21" t="inlineStr"/>
    </row>
    <row r="20">
      <c r="A20" s="20" t="inlineStr">
        <is>
          <t>P-HVAC-015</t>
        </is>
      </c>
      <c r="B20" s="21" t="inlineStr">
        <is>
          <t>Verificación presiones refrigerante R-410A enfriadoras</t>
        </is>
      </c>
      <c r="C20" s="20" t="inlineStr">
        <is>
          <t>ud</t>
        </is>
      </c>
      <c r="D20" s="20" t="n">
        <v>8</v>
      </c>
      <c r="E20" s="20" t="inlineStr">
        <is>
          <t>trimestral</t>
        </is>
      </c>
      <c r="F20" s="22" t="n"/>
      <c r="G20" s="23">
        <f>IFERROR(D20*F20,"")</f>
        <v/>
      </c>
      <c r="H20" s="21" t="inlineStr"/>
    </row>
    <row r="21">
      <c r="A21" s="20" t="inlineStr">
        <is>
          <t>P-HVAC-016</t>
        </is>
      </c>
      <c r="B21" s="21" t="inlineStr">
        <is>
          <t>Limpieza baterías condensación unidades exteriores</t>
        </is>
      </c>
      <c r="C21" s="20" t="inlineStr">
        <is>
          <t>ud</t>
        </is>
      </c>
      <c r="D21" s="20" t="n">
        <v>40</v>
      </c>
      <c r="E21" s="20" t="inlineStr">
        <is>
          <t>trimestral</t>
        </is>
      </c>
      <c r="F21" s="22" t="n"/>
      <c r="G21" s="23">
        <f>IFERROR(D21*F21,"")</f>
        <v/>
      </c>
      <c r="H21" s="21" t="inlineStr"/>
    </row>
    <row r="22">
      <c r="A22" s="20" t="inlineStr">
        <is>
          <t>P-HVAC-017</t>
        </is>
      </c>
      <c r="B22" s="21" t="inlineStr">
        <is>
          <t>Revisión conducto aire primario quirófanos</t>
        </is>
      </c>
      <c r="C22" s="20" t="inlineStr">
        <is>
          <t>m</t>
        </is>
      </c>
      <c r="D22" s="20" t="n">
        <v>320</v>
      </c>
      <c r="E22" s="20" t="inlineStr">
        <is>
          <t>trimestral</t>
        </is>
      </c>
      <c r="F22" s="22" t="n"/>
      <c r="G22" s="23">
        <f>IFERROR(D22*F22,"")</f>
        <v/>
      </c>
      <c r="H22" s="21" t="inlineStr">
        <is>
          <t>80 m × 4 trimestres</t>
        </is>
      </c>
    </row>
    <row r="23">
      <c r="A23" s="20" t="inlineStr">
        <is>
          <t>P-HVAC-018</t>
        </is>
      </c>
      <c r="B23" s="21" t="inlineStr">
        <is>
          <t>Comprobación funcional válvulas 3 vías</t>
        </is>
      </c>
      <c r="C23" s="20" t="inlineStr">
        <is>
          <t>ud</t>
        </is>
      </c>
      <c r="D23" s="20" t="n">
        <v>48</v>
      </c>
      <c r="E23" s="20" t="inlineStr">
        <is>
          <t>trimestral</t>
        </is>
      </c>
      <c r="F23" s="22" t="n"/>
      <c r="G23" s="23">
        <f>IFERROR(D23*F23,"")</f>
        <v/>
      </c>
      <c r="H23" s="21" t="inlineStr"/>
    </row>
    <row r="24">
      <c r="A24" s="20" t="inlineStr">
        <is>
          <t>P-HVAC-019</t>
        </is>
      </c>
      <c r="B24" s="21" t="inlineStr">
        <is>
          <t>Revisión variadores frecuencia ventiladores</t>
        </is>
      </c>
      <c r="C24" s="20" t="inlineStr">
        <is>
          <t>ud</t>
        </is>
      </c>
      <c r="D24" s="20" t="n">
        <v>24</v>
      </c>
      <c r="E24" s="20" t="inlineStr">
        <is>
          <t>trimestral</t>
        </is>
      </c>
      <c r="F24" s="22" t="n"/>
      <c r="G24" s="23">
        <f>IFERROR(D24*F24,"")</f>
        <v/>
      </c>
      <c r="H24" s="21" t="inlineStr"/>
    </row>
    <row r="25">
      <c r="A25" s="20" t="inlineStr">
        <is>
          <t>P-HVAC-020</t>
        </is>
      </c>
      <c r="B25" s="21" t="inlineStr">
        <is>
          <t>Inspección aislamiento térmico tuberías principales</t>
        </is>
      </c>
      <c r="C25" s="20" t="inlineStr">
        <is>
          <t>m</t>
        </is>
      </c>
      <c r="D25" s="20" t="n">
        <v>1200</v>
      </c>
      <c r="E25" s="20" t="inlineStr">
        <is>
          <t>trimestral</t>
        </is>
      </c>
      <c r="F25" s="22" t="n"/>
      <c r="G25" s="23">
        <f>IFERROR(D25*F25,"")</f>
        <v/>
      </c>
      <c r="H25" s="21" t="inlineStr"/>
    </row>
    <row r="26">
      <c r="A26" s="20" t="inlineStr">
        <is>
          <t>P-HVAC-021</t>
        </is>
      </c>
      <c r="B26" s="21" t="inlineStr">
        <is>
          <t>Sustitución filtros climatizadores área limpia</t>
        </is>
      </c>
      <c r="C26" s="20" t="inlineStr">
        <is>
          <t>ud</t>
        </is>
      </c>
      <c r="D26" s="20" t="n">
        <v>48</v>
      </c>
      <c r="E26" s="20" t="inlineStr">
        <is>
          <t>semestral</t>
        </is>
      </c>
      <c r="F26" s="22" t="n"/>
      <c r="G26" s="23">
        <f>IFERROR(D26*F26,"")</f>
        <v/>
      </c>
      <c r="H26" s="21" t="inlineStr"/>
    </row>
    <row r="27">
      <c r="A27" s="20" t="inlineStr">
        <is>
          <t>P-HVAC-022</t>
        </is>
      </c>
      <c r="B27" s="21" t="inlineStr">
        <is>
          <t>Sustitución filtros HEPA quirófanos Q1-Q12</t>
        </is>
      </c>
      <c r="C27" s="20" t="inlineStr">
        <is>
          <t>ud</t>
        </is>
      </c>
      <c r="D27" s="20" t="n">
        <v>24</v>
      </c>
      <c r="E27" s="20" t="inlineStr">
        <is>
          <t>semestral</t>
        </is>
      </c>
      <c r="F27" s="22" t="n"/>
      <c r="G27" s="23">
        <f>IFERROR(D27*F27,"")</f>
        <v/>
      </c>
      <c r="H27" s="21" t="inlineStr">
        <is>
          <t>12 quirófanos × 2</t>
        </is>
      </c>
    </row>
    <row r="28">
      <c r="A28" s="20" t="inlineStr">
        <is>
          <t>P-HVAC-023</t>
        </is>
      </c>
      <c r="B28" s="21" t="inlineStr">
        <is>
          <t>Sustitución filtros HEPA UCI y REA</t>
        </is>
      </c>
      <c r="C28" s="20" t="inlineStr">
        <is>
          <t>ud</t>
        </is>
      </c>
      <c r="D28" s="20" t="n">
        <v>36</v>
      </c>
      <c r="E28" s="20" t="inlineStr">
        <is>
          <t>semestral</t>
        </is>
      </c>
      <c r="F28" s="22" t="n"/>
      <c r="G28" s="23">
        <f>IFERROR(D28*F28,"")</f>
        <v/>
      </c>
      <c r="H28" s="21" t="inlineStr"/>
    </row>
    <row r="29">
      <c r="A29" s="20" t="inlineStr">
        <is>
          <t>P-HVAC-024</t>
        </is>
      </c>
      <c r="B29" s="21" t="inlineStr">
        <is>
          <t>Revisión sensores temperatura/humedad área crítica</t>
        </is>
      </c>
      <c r="C29" s="20" t="inlineStr">
        <is>
          <t>ud</t>
        </is>
      </c>
      <c r="D29" s="20" t="n">
        <v>80</v>
      </c>
      <c r="E29" s="20" t="inlineStr">
        <is>
          <t>semestral</t>
        </is>
      </c>
      <c r="F29" s="22" t="n"/>
      <c r="G29" s="23">
        <f>IFERROR(D29*F29,"")</f>
        <v/>
      </c>
      <c r="H29" s="21" t="inlineStr"/>
    </row>
    <row r="30">
      <c r="A30" s="20" t="inlineStr">
        <is>
          <t>P-HVAC-025</t>
        </is>
      </c>
      <c r="B30" s="21" t="inlineStr">
        <is>
          <t>Calibración controladores BMS climatización</t>
        </is>
      </c>
      <c r="C30" s="20" t="inlineStr">
        <is>
          <t>ud</t>
        </is>
      </c>
      <c r="D30" s="20" t="n">
        <v>16</v>
      </c>
      <c r="E30" s="20" t="inlineStr">
        <is>
          <t>semestral</t>
        </is>
      </c>
      <c r="F30" s="22" t="n"/>
      <c r="G30" s="23">
        <f>IFERROR(D30*F30,"")</f>
        <v/>
      </c>
      <c r="H30" s="21" t="inlineStr"/>
    </row>
    <row r="31">
      <c r="A31" s="20" t="inlineStr">
        <is>
          <t>P-HVAC-026</t>
        </is>
      </c>
      <c r="B31" s="21" t="inlineStr">
        <is>
          <t>Verificación rendimiento estacional SEER/COP</t>
        </is>
      </c>
      <c r="C31" s="20" t="inlineStr">
        <is>
          <t>ud</t>
        </is>
      </c>
      <c r="D31" s="20" t="n">
        <v>4</v>
      </c>
      <c r="E31" s="20" t="inlineStr">
        <is>
          <t>semestral</t>
        </is>
      </c>
      <c r="F31" s="22" t="n"/>
      <c r="G31" s="23">
        <f>IFERROR(D31*F31,"")</f>
        <v/>
      </c>
      <c r="H31" s="21" t="inlineStr"/>
    </row>
    <row r="32">
      <c r="A32" s="20" t="inlineStr">
        <is>
          <t>P-HVAC-027</t>
        </is>
      </c>
      <c r="B32" s="21" t="inlineStr">
        <is>
          <t>Revisión trampas de vapor sistema ACS primario</t>
        </is>
      </c>
      <c r="C32" s="20" t="inlineStr">
        <is>
          <t>ud</t>
        </is>
      </c>
      <c r="D32" s="20" t="n">
        <v>48</v>
      </c>
      <c r="E32" s="20" t="inlineStr">
        <is>
          <t>semestral</t>
        </is>
      </c>
      <c r="F32" s="22" t="n"/>
      <c r="G32" s="23">
        <f>IFERROR(D32*F32,"")</f>
        <v/>
      </c>
      <c r="H32" s="21" t="inlineStr"/>
    </row>
    <row r="33">
      <c r="A33" s="20" t="inlineStr">
        <is>
          <t>P-HVAC-028</t>
        </is>
      </c>
      <c r="B33" s="21" t="inlineStr">
        <is>
          <t>Inspección chimeneas y salidas exhaust laboratorio</t>
        </is>
      </c>
      <c r="C33" s="20" t="inlineStr">
        <is>
          <t>ud</t>
        </is>
      </c>
      <c r="D33" s="20" t="n">
        <v>12</v>
      </c>
      <c r="E33" s="20" t="inlineStr">
        <is>
          <t>semestral</t>
        </is>
      </c>
      <c r="F33" s="22" t="n"/>
      <c r="G33" s="23">
        <f>IFERROR(D33*F33,"")</f>
        <v/>
      </c>
      <c r="H33" s="21" t="inlineStr"/>
    </row>
    <row r="34">
      <c r="A34" s="20" t="inlineStr">
        <is>
          <t>P-HVAC-029</t>
        </is>
      </c>
      <c r="B34" s="21" t="inlineStr">
        <is>
          <t>Cambio aceite compresores enfriadoras</t>
        </is>
      </c>
      <c r="C34" s="20" t="inlineStr">
        <is>
          <t>ud</t>
        </is>
      </c>
      <c r="D34" s="20" t="n">
        <v>2</v>
      </c>
      <c r="E34" s="20" t="inlineStr">
        <is>
          <t>anual</t>
        </is>
      </c>
      <c r="F34" s="22" t="n"/>
      <c r="G34" s="23">
        <f>IFERROR(D34*F34,"")</f>
        <v/>
      </c>
      <c r="H34" s="21" t="inlineStr"/>
    </row>
    <row r="35">
      <c r="A35" s="20" t="inlineStr">
        <is>
          <t>P-HVAC-030</t>
        </is>
      </c>
      <c r="B35" s="21" t="inlineStr">
        <is>
          <t>Revisión anual torres refrigeración — desmontaje</t>
        </is>
      </c>
      <c r="C35" s="20" t="inlineStr">
        <is>
          <t>ud</t>
        </is>
      </c>
      <c r="D35" s="20" t="n">
        <v>4</v>
      </c>
      <c r="E35" s="20" t="inlineStr">
        <is>
          <t>anual</t>
        </is>
      </c>
      <c r="F35" s="22" t="n"/>
      <c r="G35" s="23">
        <f>IFERROR(D35*F35,"")</f>
        <v/>
      </c>
      <c r="H35" s="21" t="inlineStr"/>
    </row>
    <row r="36">
      <c r="A36" s="20" t="inlineStr">
        <is>
          <t>P-HVAC-031</t>
        </is>
      </c>
      <c r="B36" s="21" t="inlineStr">
        <is>
          <t>Carga refrigerante R-410A (si es necesario)</t>
        </is>
      </c>
      <c r="C36" s="20" t="inlineStr">
        <is>
          <t>kg</t>
        </is>
      </c>
      <c r="D36" s="20" t="n">
        <v>40</v>
      </c>
      <c r="E36" s="20" t="inlineStr">
        <is>
          <t>anual</t>
        </is>
      </c>
      <c r="F36" s="22" t="n"/>
      <c r="G36" s="23">
        <f>IFERROR(D36*F36,"")</f>
        <v/>
      </c>
      <c r="H36" s="21" t="inlineStr">
        <is>
          <t>Bolsa estimada</t>
        </is>
      </c>
    </row>
    <row r="37">
      <c r="A37" s="20" t="inlineStr">
        <is>
          <t>P-HVAC-032</t>
        </is>
      </c>
      <c r="B37" s="21" t="inlineStr">
        <is>
          <t>Análisis termográfico climatizadores principales</t>
        </is>
      </c>
      <c r="C37" s="20" t="inlineStr">
        <is>
          <t>ud</t>
        </is>
      </c>
      <c r="D37" s="20" t="n">
        <v>20</v>
      </c>
      <c r="E37" s="20" t="inlineStr">
        <is>
          <t>anual</t>
        </is>
      </c>
      <c r="F37" s="22" t="n"/>
      <c r="G37" s="23">
        <f>IFERROR(D37*F37,"")</f>
        <v/>
      </c>
      <c r="H37" s="21" t="inlineStr"/>
    </row>
    <row r="38">
      <c r="A38" s="20" t="inlineStr">
        <is>
          <t>P-HVAC-033</t>
        </is>
      </c>
      <c r="B38" s="21" t="inlineStr">
        <is>
          <t>Revisión sellos mecánicos bombas</t>
        </is>
      </c>
      <c r="C38" s="20" t="inlineStr">
        <is>
          <t>ud</t>
        </is>
      </c>
      <c r="D38" s="20" t="n">
        <v>7</v>
      </c>
      <c r="E38" s="20" t="inlineStr">
        <is>
          <t>anual</t>
        </is>
      </c>
      <c r="F38" s="22" t="n"/>
      <c r="G38" s="23">
        <f>IFERROR(D38*F38,"")</f>
        <v/>
      </c>
      <c r="H38" s="21" t="inlineStr"/>
    </row>
    <row r="39">
      <c r="A39" s="20" t="inlineStr">
        <is>
          <t>P-HVAC-034</t>
        </is>
      </c>
      <c r="B39" s="21" t="inlineStr">
        <is>
          <t>Ensayo funcional anual sistema críticos</t>
        </is>
      </c>
      <c r="C39" s="20" t="inlineStr">
        <is>
          <t>ud</t>
        </is>
      </c>
      <c r="D39" s="20" t="n">
        <v>1</v>
      </c>
      <c r="E39" s="20" t="inlineStr">
        <is>
          <t>anual</t>
        </is>
      </c>
      <c r="F39" s="22" t="n"/>
      <c r="G39" s="23">
        <f>IFERROR(D39*F39,"")</f>
        <v/>
      </c>
      <c r="H39" s="21" t="inlineStr"/>
    </row>
    <row r="40">
      <c r="A40" s="20" t="inlineStr">
        <is>
          <t>P-HVAC-035</t>
        </is>
      </c>
      <c r="B40" s="21" t="inlineStr">
        <is>
          <t>Revisión anual válvulas seguridad</t>
        </is>
      </c>
      <c r="C40" s="20" t="inlineStr">
        <is>
          <t>ud</t>
        </is>
      </c>
      <c r="D40" s="20" t="n">
        <v>24</v>
      </c>
      <c r="E40" s="20" t="inlineStr">
        <is>
          <t>anual</t>
        </is>
      </c>
      <c r="F40" s="22" t="n"/>
      <c r="G40" s="23">
        <f>IFERROR(D40*F40,"")</f>
        <v/>
      </c>
      <c r="H40" s="21" t="inlineStr"/>
    </row>
    <row r="41">
      <c r="A41" s="20" t="inlineStr">
        <is>
          <t>P-HVAC-036</t>
        </is>
      </c>
      <c r="B41" s="21" t="inlineStr">
        <is>
          <t>Auditoría anual del plan preventivo HVAC</t>
        </is>
      </c>
      <c r="C41" s="20" t="inlineStr">
        <is>
          <t>ud</t>
        </is>
      </c>
      <c r="D41" s="20" t="n">
        <v>1</v>
      </c>
      <c r="E41" s="20" t="inlineStr">
        <is>
          <t>anual</t>
        </is>
      </c>
      <c r="F41" s="22" t="n"/>
      <c r="G41" s="23">
        <f>IFERROR(D41*F41,"")</f>
        <v/>
      </c>
      <c r="H41" s="21" t="inlineStr"/>
    </row>
    <row r="42">
      <c r="A42" s="20" t="inlineStr">
        <is>
          <t>P-HVAC-037</t>
        </is>
      </c>
      <c r="B42" s="21" t="inlineStr">
        <is>
          <t>Hora técnico oficial 1ª HVAC — correctivo</t>
        </is>
      </c>
      <c r="C42" s="20" t="inlineStr">
        <is>
          <t>h</t>
        </is>
      </c>
      <c r="D42" s="20" t="n">
        <v>800</v>
      </c>
      <c r="E42" s="20" t="inlineStr">
        <is>
          <t>bolsa anual</t>
        </is>
      </c>
      <c r="F42" s="22" t="n"/>
      <c r="G42" s="23">
        <f>IFERROR(D42*F42,"")</f>
        <v/>
      </c>
      <c r="H42" s="21" t="inlineStr">
        <is>
          <t>Estimación</t>
        </is>
      </c>
    </row>
    <row r="43">
      <c r="A43" s="20" t="inlineStr">
        <is>
          <t>P-HVAC-038</t>
        </is>
      </c>
      <c r="B43" s="21" t="inlineStr">
        <is>
          <t>Hora técnico oficial 2ª HVAC — correctivo</t>
        </is>
      </c>
      <c r="C43" s="20" t="inlineStr">
        <is>
          <t>h</t>
        </is>
      </c>
      <c r="D43" s="20" t="n">
        <v>400</v>
      </c>
      <c r="E43" s="20" t="inlineStr">
        <is>
          <t>bolsa anual</t>
        </is>
      </c>
      <c r="F43" s="22" t="n"/>
      <c r="G43" s="23">
        <f>IFERROR(D43*F43,"")</f>
        <v/>
      </c>
      <c r="H43" s="21" t="inlineStr"/>
    </row>
    <row r="44">
      <c r="A44" s="20" t="inlineStr">
        <is>
          <t>P-HVAC-039</t>
        </is>
      </c>
      <c r="B44" s="21" t="inlineStr">
        <is>
          <t>Hora recargo fin de semana / festivo</t>
        </is>
      </c>
      <c r="C44" s="20" t="inlineStr">
        <is>
          <t>h</t>
        </is>
      </c>
      <c r="D44" s="20" t="n">
        <v>80</v>
      </c>
      <c r="E44" s="20" t="inlineStr">
        <is>
          <t>bolsa anual</t>
        </is>
      </c>
      <c r="F44" s="22" t="n"/>
      <c r="G44" s="23">
        <f>IFERROR(D44*F44,"")</f>
        <v/>
      </c>
      <c r="H44" s="21" t="inlineStr"/>
    </row>
    <row r="45">
      <c r="A45" s="20" t="inlineStr">
        <is>
          <t>P-HVAC-040</t>
        </is>
      </c>
      <c r="B45" s="21" t="inlineStr">
        <is>
          <t>Desplazamiento urgente fuera jornada</t>
        </is>
      </c>
      <c r="C45" s="20" t="inlineStr">
        <is>
          <t>ud</t>
        </is>
      </c>
      <c r="D45" s="20" t="n">
        <v>40</v>
      </c>
      <c r="E45" s="20" t="inlineStr">
        <is>
          <t>bolsa anual</t>
        </is>
      </c>
      <c r="F45" s="22" t="n"/>
      <c r="G45" s="23">
        <f>IFERROR(D45*F45,"")</f>
        <v/>
      </c>
      <c r="H45" s="21" t="inlineStr"/>
    </row>
    <row r="46">
      <c r="A46" s="20" t="inlineStr">
        <is>
          <t>P-HVAC-041</t>
        </is>
      </c>
      <c r="B46" s="21" t="inlineStr">
        <is>
          <t>Diagnóstico y análisis de fallos complejos</t>
        </is>
      </c>
      <c r="C46" s="20" t="inlineStr">
        <is>
          <t>h</t>
        </is>
      </c>
      <c r="D46" s="20" t="n">
        <v>60</v>
      </c>
      <c r="E46" s="20" t="inlineStr">
        <is>
          <t>bolsa anual</t>
        </is>
      </c>
      <c r="F46" s="22" t="n"/>
      <c r="G46" s="23">
        <f>IFERROR(D46*F46,"")</f>
        <v/>
      </c>
      <c r="H46" s="21" t="inlineStr"/>
    </row>
    <row r="47">
      <c r="A47" s="20" t="inlineStr">
        <is>
          <t>P-HVAC-042</t>
        </is>
      </c>
      <c r="B47" s="21" t="inlineStr">
        <is>
          <t>Mantenimiento UTA quirófanos nivel 5 (críticas)</t>
        </is>
      </c>
      <c r="C47" s="20" t="inlineStr">
        <is>
          <t>ud</t>
        </is>
      </c>
      <c r="D47" s="20" t="n">
        <v>12</v>
      </c>
      <c r="E47" s="20" t="inlineStr">
        <is>
          <t>mensual</t>
        </is>
      </c>
      <c r="F47" s="22" t="n"/>
      <c r="G47" s="23">
        <f>IFERROR(D47*F47,"")</f>
        <v/>
      </c>
      <c r="H47" s="21" t="inlineStr">
        <is>
          <t>Equipos singulares</t>
        </is>
      </c>
    </row>
    <row r="48">
      <c r="A48" s="20" t="inlineStr">
        <is>
          <t>P-HVAC-043</t>
        </is>
      </c>
      <c r="B48" s="21" t="inlineStr">
        <is>
          <t>Mantenimiento sistema climatización PET-TAC</t>
        </is>
      </c>
      <c r="C48" s="20" t="inlineStr">
        <is>
          <t>ud</t>
        </is>
      </c>
      <c r="D48" s="20" t="n">
        <v>4</v>
      </c>
      <c r="E48" s="20" t="inlineStr">
        <is>
          <t>trimestral</t>
        </is>
      </c>
      <c r="F48" s="22" t="n"/>
      <c r="G48" s="23">
        <f>IFERROR(D48*F48,"")</f>
        <v/>
      </c>
      <c r="H48" s="21" t="inlineStr">
        <is>
          <t>Equipo singular oncología</t>
        </is>
      </c>
    </row>
    <row r="49">
      <c r="A49" s="20" t="inlineStr">
        <is>
          <t>P-HVAC-044</t>
        </is>
      </c>
      <c r="B49" s="21" t="inlineStr">
        <is>
          <t>Supervisión remota BMS con integración Gridcontrol v5</t>
        </is>
      </c>
      <c r="C49" s="20" t="inlineStr">
        <is>
          <t>licencia</t>
        </is>
      </c>
      <c r="D49" s="20" t="n">
        <v>1</v>
      </c>
      <c r="E49" s="20" t="inlineStr">
        <is>
          <t>anual</t>
        </is>
      </c>
      <c r="F49" s="22" t="n"/>
      <c r="G49" s="23">
        <f>IFERROR(D49*F49,"")</f>
        <v/>
      </c>
      <c r="H49" s="21" t="inlineStr">
        <is>
          <t>SISTEMA ESPECÍFICO HUVH</t>
        </is>
      </c>
    </row>
    <row r="50">
      <c r="A50" s="20" t="inlineStr">
        <is>
          <t>P-HVAC-045</t>
        </is>
      </c>
      <c r="B50" s="21" t="inlineStr">
        <is>
          <t>Mantenimiento equipos singulares — según cartera</t>
        </is>
      </c>
      <c r="C50" s="20" t="inlineStr">
        <is>
          <t>lote</t>
        </is>
      </c>
      <c r="D50" s="20" t="n">
        <v>1</v>
      </c>
      <c r="E50" s="20" t="inlineStr">
        <is>
          <t>anual</t>
        </is>
      </c>
      <c r="F50" s="22" t="n"/>
      <c r="G50" s="23">
        <f>IFERROR(D50*F50,"")</f>
        <v/>
      </c>
      <c r="H50" s="21" t="inlineStr">
        <is>
          <t>A valorar con dirección técnica</t>
        </is>
      </c>
    </row>
    <row r="52">
      <c r="F52" s="24" t="inlineStr">
        <is>
          <t>Subtotal capítulo 1:</t>
        </is>
      </c>
      <c r="G52" s="25">
        <f>SUM(G6:G50)</f>
        <v/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55" customWidth="1" min="2" max="2"/>
    <col width="10" customWidth="1" min="3" max="3"/>
    <col width="13" customWidth="1" min="4" max="4"/>
    <col width="14" customWidth="1" min="5" max="5"/>
    <col width="18" customWidth="1" min="6" max="6"/>
    <col width="16" customWidth="1" min="7" max="7"/>
    <col width="30" customWidth="1" min="8" max="8"/>
  </cols>
  <sheetData>
    <row r="1">
      <c r="A1" s="4" t="inlineStr">
        <is>
          <t>CAPÍTULO 2</t>
        </is>
      </c>
    </row>
    <row r="2" ht="22" customHeight="1">
      <c r="A2" s="18" t="inlineStr">
        <is>
          <t>ELECTRICIDAD Y BT</t>
        </is>
      </c>
    </row>
    <row r="3">
      <c r="A3" s="19" t="inlineStr">
        <is>
          <t>Cliente: Hospital Universitari Vall d'Hebron — Expediente: HUV-2026-MANT-INT</t>
        </is>
      </c>
    </row>
    <row r="5">
      <c r="A5" s="8" t="inlineStr">
        <is>
          <t>Código</t>
        </is>
      </c>
      <c r="B5" s="8" t="inlineStr">
        <is>
          <t>Descripción</t>
        </is>
      </c>
      <c r="C5" s="8" t="inlineStr">
        <is>
          <t>Unidad</t>
        </is>
      </c>
      <c r="D5" s="8" t="inlineStr">
        <is>
          <t>Cantidad anual</t>
        </is>
      </c>
      <c r="E5" s="8" t="inlineStr">
        <is>
          <t>Frecuencia</t>
        </is>
      </c>
      <c r="F5" s="8" t="inlineStr">
        <is>
          <t>Precio unitario oferta (€)</t>
        </is>
      </c>
      <c r="G5" s="8" t="inlineStr">
        <is>
          <t>Total (€)</t>
        </is>
      </c>
      <c r="H5" s="8" t="inlineStr">
        <is>
          <t>Observaciones cliente</t>
        </is>
      </c>
    </row>
    <row r="6">
      <c r="A6" s="20" t="inlineStr">
        <is>
          <t>P-ELE-001</t>
        </is>
      </c>
      <c r="B6" s="21" t="inlineStr">
        <is>
          <t>Revisión mensual cuadro general BT Bloque General</t>
        </is>
      </c>
      <c r="C6" s="20" t="inlineStr">
        <is>
          <t>ud</t>
        </is>
      </c>
      <c r="D6" s="20" t="n">
        <v>12</v>
      </c>
      <c r="E6" s="20" t="inlineStr">
        <is>
          <t>mensual</t>
        </is>
      </c>
      <c r="F6" s="22" t="n"/>
      <c r="G6" s="23">
        <f>IFERROR(D6*F6,"")</f>
        <v/>
      </c>
      <c r="H6" s="21" t="inlineStr"/>
    </row>
    <row r="7">
      <c r="A7" s="20" t="inlineStr">
        <is>
          <t>P-ELE-002</t>
        </is>
      </c>
      <c r="B7" s="21" t="inlineStr">
        <is>
          <t>Revisión mensual cuadro general BT Torre Infantil</t>
        </is>
      </c>
      <c r="C7" s="20" t="inlineStr">
        <is>
          <t>ud</t>
        </is>
      </c>
      <c r="D7" s="20" t="n">
        <v>12</v>
      </c>
      <c r="E7" s="20" t="inlineStr">
        <is>
          <t>mensual</t>
        </is>
      </c>
      <c r="F7" s="22" t="n"/>
      <c r="G7" s="23">
        <f>IFERROR(D7*F7,"")</f>
        <v/>
      </c>
      <c r="H7" s="21" t="inlineStr"/>
    </row>
    <row r="8">
      <c r="A8" s="20" t="inlineStr">
        <is>
          <t>P-ELE-003</t>
        </is>
      </c>
      <c r="B8" s="21" t="inlineStr">
        <is>
          <t>Revisión mensual cuadro general BT Pediatría</t>
        </is>
      </c>
      <c r="C8" s="20" t="inlineStr">
        <is>
          <t>ud</t>
        </is>
      </c>
      <c r="D8" s="20" t="n">
        <v>12</v>
      </c>
      <c r="E8" s="20" t="inlineStr">
        <is>
          <t>mensual</t>
        </is>
      </c>
      <c r="F8" s="22" t="n"/>
      <c r="G8" s="23">
        <f>IFERROR(D8*F8,"")</f>
        <v/>
      </c>
      <c r="H8" s="21" t="inlineStr"/>
    </row>
    <row r="9">
      <c r="A9" s="20" t="inlineStr">
        <is>
          <t>P-ELE-004</t>
        </is>
      </c>
      <c r="B9" s="21" t="inlineStr">
        <is>
          <t>Revisión trimestral cuadros secundarios planta</t>
        </is>
      </c>
      <c r="C9" s="20" t="inlineStr">
        <is>
          <t>ud</t>
        </is>
      </c>
      <c r="D9" s="20" t="n">
        <v>64</v>
      </c>
      <c r="E9" s="20" t="inlineStr">
        <is>
          <t>trimestral</t>
        </is>
      </c>
      <c r="F9" s="22" t="n"/>
      <c r="G9" s="23">
        <f>IFERROR(D9*F9,"")</f>
        <v/>
      </c>
      <c r="H9" s="21" t="inlineStr">
        <is>
          <t>16 cuadros × 4</t>
        </is>
      </c>
    </row>
    <row r="10">
      <c r="A10" s="20" t="inlineStr">
        <is>
          <t>P-ELE-005</t>
        </is>
      </c>
      <c r="B10" s="21" t="inlineStr">
        <is>
          <t>Revisión trimestral centros de transformación</t>
        </is>
      </c>
      <c r="C10" s="20" t="inlineStr">
        <is>
          <t>ud</t>
        </is>
      </c>
      <c r="D10" s="20" t="n">
        <v>8</v>
      </c>
      <c r="E10" s="20" t="inlineStr">
        <is>
          <t>trimestral</t>
        </is>
      </c>
      <c r="F10" s="22" t="n"/>
      <c r="G10" s="23">
        <f>IFERROR(D10*F10,"")</f>
        <v/>
      </c>
      <c r="H10" s="21" t="inlineStr">
        <is>
          <t>2 CT × 4</t>
        </is>
      </c>
    </row>
    <row r="11">
      <c r="A11" s="20" t="inlineStr">
        <is>
          <t>P-ELE-006</t>
        </is>
      </c>
      <c r="B11" s="21" t="inlineStr">
        <is>
          <t>Verificación apriete conexiones cuadros principales</t>
        </is>
      </c>
      <c r="C11" s="20" t="inlineStr">
        <is>
          <t>ud</t>
        </is>
      </c>
      <c r="D11" s="20" t="n">
        <v>12</v>
      </c>
      <c r="E11" s="20" t="inlineStr">
        <is>
          <t>semestral</t>
        </is>
      </c>
      <c r="F11" s="22" t="n"/>
      <c r="G11" s="23">
        <f>IFERROR(D11*F11,"")</f>
        <v/>
      </c>
      <c r="H11" s="21" t="inlineStr"/>
    </row>
    <row r="12">
      <c r="A12" s="20" t="inlineStr">
        <is>
          <t>P-ELE-007</t>
        </is>
      </c>
      <c r="B12" s="21" t="inlineStr">
        <is>
          <t>Verificación apriete conexiones cuadros secundarios</t>
        </is>
      </c>
      <c r="C12" s="20" t="inlineStr">
        <is>
          <t>ud</t>
        </is>
      </c>
      <c r="D12" s="20" t="n">
        <v>32</v>
      </c>
      <c r="E12" s="20" t="inlineStr">
        <is>
          <t>semestral</t>
        </is>
      </c>
      <c r="F12" s="22" t="n"/>
      <c r="G12" s="23">
        <f>IFERROR(D12*F12,"")</f>
        <v/>
      </c>
      <c r="H12" s="21" t="inlineStr"/>
    </row>
    <row r="13">
      <c r="A13" s="20" t="inlineStr">
        <is>
          <t>P-ELE-008</t>
        </is>
      </c>
      <c r="B13" s="21" t="inlineStr">
        <is>
          <t>Análisis calidad onda en puntos críticos</t>
        </is>
      </c>
      <c r="C13" s="20" t="inlineStr">
        <is>
          <t>ud</t>
        </is>
      </c>
      <c r="D13" s="20" t="n">
        <v>16</v>
      </c>
      <c r="E13" s="20" t="inlineStr">
        <is>
          <t>semestral</t>
        </is>
      </c>
      <c r="F13" s="22" t="n"/>
      <c r="G13" s="23">
        <f>IFERROR(D13*F13,"")</f>
        <v/>
      </c>
      <c r="H13" s="21" t="inlineStr"/>
    </row>
    <row r="14">
      <c r="A14" s="20" t="inlineStr">
        <is>
          <t>P-ELE-009</t>
        </is>
      </c>
      <c r="B14" s="21" t="inlineStr">
        <is>
          <t>Análisis termográfico anual CT + cuadros generales</t>
        </is>
      </c>
      <c r="C14" s="20" t="inlineStr">
        <is>
          <t>ud</t>
        </is>
      </c>
      <c r="D14" s="20" t="n">
        <v>5</v>
      </c>
      <c r="E14" s="20" t="inlineStr">
        <is>
          <t>anual</t>
        </is>
      </c>
      <c r="F14" s="22" t="n"/>
      <c r="G14" s="23">
        <f>IFERROR(D14*F14,"")</f>
        <v/>
      </c>
      <c r="H14" s="21" t="inlineStr"/>
    </row>
    <row r="15">
      <c r="A15" s="20" t="inlineStr">
        <is>
          <t>P-ELE-010</t>
        </is>
      </c>
      <c r="B15" s="21" t="inlineStr">
        <is>
          <t>Análisis termográfico anual cuadros secundarios</t>
        </is>
      </c>
      <c r="C15" s="20" t="inlineStr">
        <is>
          <t>ud</t>
        </is>
      </c>
      <c r="D15" s="20" t="n">
        <v>16</v>
      </c>
      <c r="E15" s="20" t="inlineStr">
        <is>
          <t>anual</t>
        </is>
      </c>
      <c r="F15" s="22" t="n"/>
      <c r="G15" s="23">
        <f>IFERROR(D15*F15,"")</f>
        <v/>
      </c>
      <c r="H15" s="21" t="inlineStr"/>
    </row>
    <row r="16">
      <c r="A16" s="20" t="inlineStr">
        <is>
          <t>P-ELE-011</t>
        </is>
      </c>
      <c r="B16" s="21" t="inlineStr">
        <is>
          <t>Ensayos anuales aisladores MT CT</t>
        </is>
      </c>
      <c r="C16" s="20" t="inlineStr">
        <is>
          <t>ud</t>
        </is>
      </c>
      <c r="D16" s="20" t="n">
        <v>2</v>
      </c>
      <c r="E16" s="20" t="inlineStr">
        <is>
          <t>anual</t>
        </is>
      </c>
      <c r="F16" s="22" t="n"/>
      <c r="G16" s="23">
        <f>IFERROR(D16*F16,"")</f>
        <v/>
      </c>
      <c r="H16" s="21" t="inlineStr"/>
    </row>
    <row r="17">
      <c r="A17" s="20" t="inlineStr">
        <is>
          <t>P-ELE-012</t>
        </is>
      </c>
      <c r="B17" s="21" t="inlineStr">
        <is>
          <t>Revisión anual puesta a tierra</t>
        </is>
      </c>
      <c r="C17" s="20" t="inlineStr">
        <is>
          <t>ud</t>
        </is>
      </c>
      <c r="D17" s="20" t="n">
        <v>3</v>
      </c>
      <c r="E17" s="20" t="inlineStr">
        <is>
          <t>anual</t>
        </is>
      </c>
      <c r="F17" s="22" t="n"/>
      <c r="G17" s="23">
        <f>IFERROR(D17*F17,"")</f>
        <v/>
      </c>
      <c r="H17" s="21" t="inlineStr"/>
    </row>
    <row r="18">
      <c r="A18" s="20" t="inlineStr">
        <is>
          <t>P-ELE-013</t>
        </is>
      </c>
      <c r="B18" s="21" t="inlineStr">
        <is>
          <t>Revisión mensual SAI hospitalario 250 kVA</t>
        </is>
      </c>
      <c r="C18" s="20" t="inlineStr">
        <is>
          <t>ud</t>
        </is>
      </c>
      <c r="D18" s="20" t="n">
        <v>12</v>
      </c>
      <c r="E18" s="20" t="inlineStr">
        <is>
          <t>mensual</t>
        </is>
      </c>
      <c r="F18" s="22" t="n"/>
      <c r="G18" s="23">
        <f>IFERROR(D18*F18,"")</f>
        <v/>
      </c>
      <c r="H18" s="21" t="inlineStr">
        <is>
          <t>SAI principal</t>
        </is>
      </c>
    </row>
    <row r="19">
      <c r="A19" s="20" t="inlineStr">
        <is>
          <t>P-ELE-014</t>
        </is>
      </c>
      <c r="B19" s="21" t="inlineStr">
        <is>
          <t>Revisión mensual SAI quirófano 40 kVA</t>
        </is>
      </c>
      <c r="C19" s="20" t="inlineStr">
        <is>
          <t>ud</t>
        </is>
      </c>
      <c r="D19" s="20" t="n">
        <v>72</v>
      </c>
      <c r="E19" s="20" t="inlineStr">
        <is>
          <t>mensual</t>
        </is>
      </c>
      <c r="F19" s="22" t="n"/>
      <c r="G19" s="23">
        <f>IFERROR(D19*F19,"")</f>
        <v/>
      </c>
      <c r="H19" s="21" t="inlineStr">
        <is>
          <t>6 SAIs × 12 meses</t>
        </is>
      </c>
    </row>
    <row r="20">
      <c r="A20" s="20" t="inlineStr">
        <is>
          <t>P-ELE-015</t>
        </is>
      </c>
      <c r="B20" s="21" t="inlineStr">
        <is>
          <t>Ensayo funcional SAI con carga (semestral)</t>
        </is>
      </c>
      <c r="C20" s="20" t="inlineStr">
        <is>
          <t>ud</t>
        </is>
      </c>
      <c r="D20" s="20" t="n">
        <v>14</v>
      </c>
      <c r="E20" s="20" t="inlineStr">
        <is>
          <t>semestral</t>
        </is>
      </c>
      <c r="F20" s="22" t="n"/>
      <c r="G20" s="23">
        <f>IFERROR(D20*F20,"")</f>
        <v/>
      </c>
      <c r="H20" s="21" t="inlineStr"/>
    </row>
    <row r="21">
      <c r="A21" s="20" t="inlineStr">
        <is>
          <t>P-ELE-016</t>
        </is>
      </c>
      <c r="B21" s="21" t="inlineStr">
        <is>
          <t>Sustitución baterías SAI (quinquenal)</t>
        </is>
      </c>
      <c r="C21" s="20" t="inlineStr">
        <is>
          <t>ud</t>
        </is>
      </c>
      <c r="D21" s="20" t="n">
        <v>1</v>
      </c>
      <c r="E21" s="20" t="inlineStr">
        <is>
          <t>bolsa anual</t>
        </is>
      </c>
      <c r="F21" s="22" t="n"/>
      <c r="G21" s="23">
        <f>IFERROR(D21*F21,"")</f>
        <v/>
      </c>
      <c r="H21" s="21" t="inlineStr">
        <is>
          <t>Amortización anual</t>
        </is>
      </c>
    </row>
    <row r="22">
      <c r="A22" s="20" t="inlineStr">
        <is>
          <t>P-ELE-017</t>
        </is>
      </c>
      <c r="B22" s="21" t="inlineStr">
        <is>
          <t>Revisión mensual grupo electrógeno 1600 kVA</t>
        </is>
      </c>
      <c r="C22" s="20" t="inlineStr">
        <is>
          <t>ud</t>
        </is>
      </c>
      <c r="D22" s="20" t="n">
        <v>12</v>
      </c>
      <c r="E22" s="20" t="inlineStr">
        <is>
          <t>mensual</t>
        </is>
      </c>
      <c r="F22" s="22" t="n"/>
      <c r="G22" s="23">
        <f>IFERROR(D22*F22,"")</f>
        <v/>
      </c>
      <c r="H22" s="21" t="inlineStr"/>
    </row>
    <row r="23">
      <c r="A23" s="20" t="inlineStr">
        <is>
          <t>P-ELE-018</t>
        </is>
      </c>
      <c r="B23" s="21" t="inlineStr">
        <is>
          <t>Ensayo semanal en vacío del GE</t>
        </is>
      </c>
      <c r="C23" s="20" t="inlineStr">
        <is>
          <t>ud</t>
        </is>
      </c>
      <c r="D23" s="20" t="n">
        <v>52</v>
      </c>
      <c r="E23" s="20" t="inlineStr">
        <is>
          <t>semanal</t>
        </is>
      </c>
      <c r="F23" s="22" t="n"/>
      <c r="G23" s="23">
        <f>IFERROR(D23*F23,"")</f>
        <v/>
      </c>
      <c r="H23" s="21" t="inlineStr"/>
    </row>
    <row r="24">
      <c r="A24" s="20" t="inlineStr">
        <is>
          <t>P-ELE-019</t>
        </is>
      </c>
      <c r="B24" s="21" t="inlineStr">
        <is>
          <t>Ensayo mensual con carga del GE</t>
        </is>
      </c>
      <c r="C24" s="20" t="inlineStr">
        <is>
          <t>ud</t>
        </is>
      </c>
      <c r="D24" s="20" t="n">
        <v>12</v>
      </c>
      <c r="E24" s="20" t="inlineStr">
        <is>
          <t>mensual</t>
        </is>
      </c>
      <c r="F24" s="22" t="n"/>
      <c r="G24" s="23">
        <f>IFERROR(D24*F24,"")</f>
        <v/>
      </c>
      <c r="H24" s="21" t="inlineStr"/>
    </row>
    <row r="25">
      <c r="A25" s="20" t="inlineStr">
        <is>
          <t>P-ELE-020</t>
        </is>
      </c>
      <c r="B25" s="21" t="inlineStr">
        <is>
          <t>Cambio aceite y filtros GE (anual)</t>
        </is>
      </c>
      <c r="C25" s="20" t="inlineStr">
        <is>
          <t>ud</t>
        </is>
      </c>
      <c r="D25" s="20" t="n">
        <v>1</v>
      </c>
      <c r="E25" s="20" t="inlineStr">
        <is>
          <t>anual</t>
        </is>
      </c>
      <c r="F25" s="22" t="n"/>
      <c r="G25" s="23">
        <f>IFERROR(D25*F25,"")</f>
        <v/>
      </c>
      <c r="H25" s="21" t="inlineStr"/>
    </row>
    <row r="26">
      <c r="A26" s="20" t="inlineStr">
        <is>
          <t>P-ELE-021</t>
        </is>
      </c>
      <c r="B26" s="21" t="inlineStr">
        <is>
          <t>Análisis de gasóleo — calidad combustible</t>
        </is>
      </c>
      <c r="C26" s="20" t="inlineStr">
        <is>
          <t>ud</t>
        </is>
      </c>
      <c r="D26" s="20" t="n">
        <v>2</v>
      </c>
      <c r="E26" s="20" t="inlineStr">
        <is>
          <t>semestral</t>
        </is>
      </c>
      <c r="F26" s="22" t="n"/>
      <c r="G26" s="23">
        <f>IFERROR(D26*F26,"")</f>
        <v/>
      </c>
      <c r="H26" s="21" t="inlineStr"/>
    </row>
    <row r="27">
      <c r="A27" s="20" t="inlineStr">
        <is>
          <t>P-ELE-022</t>
        </is>
      </c>
      <c r="B27" s="21" t="inlineStr">
        <is>
          <t>Sustitución programada luminarias LED áreas comunes</t>
        </is>
      </c>
      <c r="C27" s="20" t="inlineStr">
        <is>
          <t>ud</t>
        </is>
      </c>
      <c r="D27" s="20" t="n">
        <v>200</v>
      </c>
      <c r="E27" s="20" t="inlineStr">
        <is>
          <t>bolsa anual</t>
        </is>
      </c>
      <c r="F27" s="22" t="n"/>
      <c r="G27" s="23">
        <f>IFERROR(D27*F27,"")</f>
        <v/>
      </c>
      <c r="H27" s="21" t="inlineStr">
        <is>
          <t>Estimación 4% parque</t>
        </is>
      </c>
    </row>
    <row r="28">
      <c r="A28" s="20" t="inlineStr">
        <is>
          <t>P-ELE-023</t>
        </is>
      </c>
      <c r="B28" s="21" t="inlineStr">
        <is>
          <t>Revisión alumbrado de emergencia (trimestral)</t>
        </is>
      </c>
      <c r="C28" s="20" t="inlineStr">
        <is>
          <t>ud</t>
        </is>
      </c>
      <c r="D28" s="20" t="n">
        <v>800</v>
      </c>
      <c r="E28" s="20" t="inlineStr">
        <is>
          <t>trimestral</t>
        </is>
      </c>
      <c r="F28" s="22" t="n"/>
      <c r="G28" s="23">
        <f>IFERROR(D28*F28,"")</f>
        <v/>
      </c>
      <c r="H28" s="21" t="inlineStr">
        <is>
          <t>200 ud × 4</t>
        </is>
      </c>
    </row>
    <row r="29">
      <c r="A29" s="20" t="inlineStr">
        <is>
          <t>P-ELE-024</t>
        </is>
      </c>
      <c r="B29" s="21" t="inlineStr">
        <is>
          <t>Ensayo anual alumbrado de emergencia (autonomía)</t>
        </is>
      </c>
      <c r="C29" s="20" t="inlineStr">
        <is>
          <t>ud</t>
        </is>
      </c>
      <c r="D29" s="20" t="n">
        <v>200</v>
      </c>
      <c r="E29" s="20" t="inlineStr">
        <is>
          <t>anual</t>
        </is>
      </c>
      <c r="F29" s="22" t="n"/>
      <c r="G29" s="23">
        <f>IFERROR(D29*F29,"")</f>
        <v/>
      </c>
      <c r="H29" s="21" t="inlineStr"/>
    </row>
    <row r="30">
      <c r="A30" s="20" t="inlineStr">
        <is>
          <t>P-ELE-025</t>
        </is>
      </c>
      <c r="B30" s="21" t="inlineStr">
        <is>
          <t>Hora técnico oficial 1ª electricidad — correctivo</t>
        </is>
      </c>
      <c r="C30" s="20" t="inlineStr">
        <is>
          <t>h</t>
        </is>
      </c>
      <c r="D30" s="20" t="n">
        <v>600</v>
      </c>
      <c r="E30" s="20" t="inlineStr">
        <is>
          <t>bolsa anual</t>
        </is>
      </c>
      <c r="F30" s="22" t="n"/>
      <c r="G30" s="23">
        <f>IFERROR(D30*F30,"")</f>
        <v/>
      </c>
      <c r="H30" s="21" t="inlineStr"/>
    </row>
    <row r="31">
      <c r="A31" s="20" t="inlineStr">
        <is>
          <t>P-ELE-026</t>
        </is>
      </c>
      <c r="B31" s="21" t="inlineStr">
        <is>
          <t>Hora técnico oficial 2ª electricidad — correctivo</t>
        </is>
      </c>
      <c r="C31" s="20" t="inlineStr">
        <is>
          <t>h</t>
        </is>
      </c>
      <c r="D31" s="20" t="n">
        <v>300</v>
      </c>
      <c r="E31" s="20" t="inlineStr">
        <is>
          <t>bolsa anual</t>
        </is>
      </c>
      <c r="F31" s="22" t="n"/>
      <c r="G31" s="23">
        <f>IFERROR(D31*F31,"")</f>
        <v/>
      </c>
      <c r="H31" s="21" t="inlineStr"/>
    </row>
    <row r="32">
      <c r="A32" s="20" t="inlineStr">
        <is>
          <t>P-ELE-027</t>
        </is>
      </c>
      <c r="B32" s="21" t="inlineStr">
        <is>
          <t>Hora electricista guardia localizada 24/7</t>
        </is>
      </c>
      <c r="C32" s="20" t="inlineStr">
        <is>
          <t>h</t>
        </is>
      </c>
      <c r="D32" s="20" t="n">
        <v>200</v>
      </c>
      <c r="E32" s="20" t="inlineStr">
        <is>
          <t>bolsa anual</t>
        </is>
      </c>
      <c r="F32" s="22" t="n"/>
      <c r="G32" s="23">
        <f>IFERROR(D32*F32,"")</f>
        <v/>
      </c>
      <c r="H32" s="21" t="inlineStr"/>
    </row>
    <row r="33">
      <c r="A33" s="20" t="inlineStr">
        <is>
          <t>P-ELE-028</t>
        </is>
      </c>
      <c r="B33" s="21" t="inlineStr">
        <is>
          <t>Diagnóstico averías complejas MT</t>
        </is>
      </c>
      <c r="C33" s="20" t="inlineStr">
        <is>
          <t>h</t>
        </is>
      </c>
      <c r="D33" s="20" t="n">
        <v>20</v>
      </c>
      <c r="E33" s="20" t="inlineStr">
        <is>
          <t>bolsa anual</t>
        </is>
      </c>
      <c r="F33" s="22" t="n"/>
      <c r="G33" s="23">
        <f>IFERROR(D33*F33,"")</f>
        <v/>
      </c>
      <c r="H33" s="21" t="inlineStr">
        <is>
          <t>Solo ingeniero certificado MT</t>
        </is>
      </c>
    </row>
    <row r="34">
      <c r="A34" s="20" t="inlineStr">
        <is>
          <t>P-ELE-029</t>
        </is>
      </c>
      <c r="B34" s="21" t="inlineStr">
        <is>
          <t>Mantenimiento sistema BMS Saia-Burgess</t>
        </is>
      </c>
      <c r="C34" s="20" t="inlineStr">
        <is>
          <t>ud</t>
        </is>
      </c>
      <c r="D34" s="20" t="n">
        <v>4</v>
      </c>
      <c r="E34" s="20" t="inlineStr">
        <is>
          <t>trimestral</t>
        </is>
      </c>
      <c r="F34" s="22" t="n"/>
      <c r="G34" s="23">
        <f>IFERROR(D34*F34,"")</f>
        <v/>
      </c>
      <c r="H34" s="21" t="inlineStr">
        <is>
          <t>PLATAFORMA ESPECÍFICA HUVH</t>
        </is>
      </c>
    </row>
    <row r="35">
      <c r="A35" s="20" t="inlineStr">
        <is>
          <t>P-ELE-030</t>
        </is>
      </c>
      <c r="B35" s="21" t="inlineStr">
        <is>
          <t>Supervisión programación BMS — ajustes menores</t>
        </is>
      </c>
      <c r="C35" s="20" t="inlineStr">
        <is>
          <t>h</t>
        </is>
      </c>
      <c r="D35" s="20" t="n">
        <v>40</v>
      </c>
      <c r="E35" s="20" t="inlineStr">
        <is>
          <t>bolsa anual</t>
        </is>
      </c>
      <c r="F35" s="22" t="n"/>
      <c r="G35" s="23">
        <f>IFERROR(D35*F35,"")</f>
        <v/>
      </c>
      <c r="H35" s="21" t="inlineStr"/>
    </row>
    <row r="36">
      <c r="A36" s="20" t="inlineStr">
        <is>
          <t>P-ELE-031</t>
        </is>
      </c>
      <c r="B36" s="21" t="inlineStr">
        <is>
          <t>Mantenimiento red datos infraestructura IT</t>
        </is>
      </c>
      <c r="C36" s="20" t="inlineStr">
        <is>
          <t>ud</t>
        </is>
      </c>
      <c r="D36" s="20" t="n">
        <v>4</v>
      </c>
      <c r="E36" s="20" t="inlineStr">
        <is>
          <t>trimestral</t>
        </is>
      </c>
      <c r="F36" s="22" t="n"/>
      <c r="G36" s="23">
        <f>IFERROR(D36*F36,"")</f>
        <v/>
      </c>
      <c r="H36" s="21" t="inlineStr">
        <is>
          <t>FUERA DEL ALCANCE HABITUAL — revisar</t>
        </is>
      </c>
    </row>
    <row r="37">
      <c r="A37" s="20" t="inlineStr">
        <is>
          <t>P-ELE-032</t>
        </is>
      </c>
      <c r="B37" s="21" t="inlineStr">
        <is>
          <t>Adecuación normativa según RD 842/2002 — incidencias</t>
        </is>
      </c>
      <c r="C37" s="20" t="inlineStr">
        <is>
          <t>lote</t>
        </is>
      </c>
      <c r="D37" s="20" t="n">
        <v>1</v>
      </c>
      <c r="E37" s="20" t="inlineStr">
        <is>
          <t>anual</t>
        </is>
      </c>
      <c r="F37" s="22" t="n"/>
      <c r="G37" s="23">
        <f>IFERROR(D37*F37,"")</f>
        <v/>
      </c>
      <c r="H37" s="21" t="inlineStr">
        <is>
          <t>A valorar con incidencia</t>
        </is>
      </c>
    </row>
    <row r="38">
      <c r="A38" s="20" t="inlineStr">
        <is>
          <t>P-ELE-033</t>
        </is>
      </c>
      <c r="B38" s="21" t="inlineStr">
        <is>
          <t>Gestión residuos eléctricos (RAEE)</t>
        </is>
      </c>
      <c r="C38" s="20" t="inlineStr">
        <is>
          <t>kg</t>
        </is>
      </c>
      <c r="D38" s="20" t="n">
        <v>800</v>
      </c>
      <c r="E38" s="20" t="inlineStr">
        <is>
          <t>anual</t>
        </is>
      </c>
      <c r="F38" s="22" t="n"/>
      <c r="G38" s="23">
        <f>IFERROR(D38*F38,"")</f>
        <v/>
      </c>
      <c r="H38" s="21" t="inlineStr"/>
    </row>
    <row r="39">
      <c r="A39" s="20" t="inlineStr">
        <is>
          <t>P-ELE-034</t>
        </is>
      </c>
      <c r="B39" s="21" t="inlineStr">
        <is>
          <t>Mantenimiento sistema seguridad eléctrica quirófano</t>
        </is>
      </c>
      <c r="C39" s="20" t="inlineStr">
        <is>
          <t>ud</t>
        </is>
      </c>
      <c r="D39" s="20" t="n">
        <v>48</v>
      </c>
      <c r="E39" s="20" t="inlineStr">
        <is>
          <t>mensual</t>
        </is>
      </c>
      <c r="F39" s="22" t="n"/>
      <c r="G39" s="23">
        <f>IFERROR(D39*F39,"")</f>
        <v/>
      </c>
      <c r="H39" s="21" t="inlineStr">
        <is>
          <t>Normativa específica quirófanos</t>
        </is>
      </c>
    </row>
    <row r="40">
      <c r="A40" s="20" t="inlineStr">
        <is>
          <t>P-ELE-035</t>
        </is>
      </c>
      <c r="B40" s="21" t="inlineStr">
        <is>
          <t>Mantenimiento equipos singulares eléctricos</t>
        </is>
      </c>
      <c r="C40" s="20" t="inlineStr">
        <is>
          <t>lote</t>
        </is>
      </c>
      <c r="D40" s="20" t="n">
        <v>1</v>
      </c>
      <c r="E40" s="20" t="inlineStr">
        <is>
          <t>anual</t>
        </is>
      </c>
      <c r="F40" s="22" t="n"/>
      <c r="G40" s="23">
        <f>IFERROR(D40*F40,"")</f>
        <v/>
      </c>
      <c r="H40" s="21" t="inlineStr">
        <is>
          <t>A valorar con dirección técnica</t>
        </is>
      </c>
    </row>
    <row r="42">
      <c r="F42" s="24" t="inlineStr">
        <is>
          <t>Subtotal capítulo 2:</t>
        </is>
      </c>
      <c r="G42" s="25">
        <f>SUM(G6:G40)</f>
        <v/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55" customWidth="1" min="2" max="2"/>
    <col width="10" customWidth="1" min="3" max="3"/>
    <col width="13" customWidth="1" min="4" max="4"/>
    <col width="14" customWidth="1" min="5" max="5"/>
    <col width="18" customWidth="1" min="6" max="6"/>
    <col width="16" customWidth="1" min="7" max="7"/>
    <col width="30" customWidth="1" min="8" max="8"/>
  </cols>
  <sheetData>
    <row r="1">
      <c r="A1" s="4" t="inlineStr">
        <is>
          <t>CAPÍTULO 3</t>
        </is>
      </c>
    </row>
    <row r="2" ht="22" customHeight="1">
      <c r="A2" s="18" t="inlineStr">
        <is>
          <t>PROTECCIÓN CONTRA INCENDIOS (PCI)</t>
        </is>
      </c>
    </row>
    <row r="3">
      <c r="A3" s="19" t="inlineStr">
        <is>
          <t>Cliente: Hospital Universitari Vall d'Hebron — Expediente: HUV-2026-MANT-INT</t>
        </is>
      </c>
    </row>
    <row r="5">
      <c r="A5" s="8" t="inlineStr">
        <is>
          <t>Código</t>
        </is>
      </c>
      <c r="B5" s="8" t="inlineStr">
        <is>
          <t>Descripción</t>
        </is>
      </c>
      <c r="C5" s="8" t="inlineStr">
        <is>
          <t>Unidad</t>
        </is>
      </c>
      <c r="D5" s="8" t="inlineStr">
        <is>
          <t>Cantidad anual</t>
        </is>
      </c>
      <c r="E5" s="8" t="inlineStr">
        <is>
          <t>Frecuencia</t>
        </is>
      </c>
      <c r="F5" s="8" t="inlineStr">
        <is>
          <t>Precio unitario oferta (€)</t>
        </is>
      </c>
      <c r="G5" s="8" t="inlineStr">
        <is>
          <t>Total (€)</t>
        </is>
      </c>
      <c r="H5" s="8" t="inlineStr">
        <is>
          <t>Observaciones cliente</t>
        </is>
      </c>
    </row>
    <row r="6">
      <c r="A6" s="20" t="inlineStr">
        <is>
          <t>P-PCI-001</t>
        </is>
      </c>
      <c r="B6" s="21" t="inlineStr">
        <is>
          <t>Revisión trimestral extintores polvo 6 kg</t>
        </is>
      </c>
      <c r="C6" s="20" t="inlineStr">
        <is>
          <t>ud</t>
        </is>
      </c>
      <c r="D6" s="20" t="n">
        <v>1600</v>
      </c>
      <c r="E6" s="20" t="inlineStr">
        <is>
          <t>trimestral</t>
        </is>
      </c>
      <c r="F6" s="22" t="n"/>
      <c r="G6" s="23">
        <f>IFERROR(D6*F6,"")</f>
        <v/>
      </c>
      <c r="H6" s="21" t="inlineStr">
        <is>
          <t>400 extintores × 4</t>
        </is>
      </c>
    </row>
    <row r="7">
      <c r="A7" s="20" t="inlineStr">
        <is>
          <t>P-PCI-002</t>
        </is>
      </c>
      <c r="B7" s="21" t="inlineStr">
        <is>
          <t>Revisión trimestral extintores CO2 5 kg</t>
        </is>
      </c>
      <c r="C7" s="20" t="inlineStr">
        <is>
          <t>ud</t>
        </is>
      </c>
      <c r="D7" s="20" t="n">
        <v>320</v>
      </c>
      <c r="E7" s="20" t="inlineStr">
        <is>
          <t>trimestral</t>
        </is>
      </c>
      <c r="F7" s="22" t="n"/>
      <c r="G7" s="23">
        <f>IFERROR(D7*F7,"")</f>
        <v/>
      </c>
      <c r="H7" s="21" t="inlineStr">
        <is>
          <t>80 extintores × 4</t>
        </is>
      </c>
    </row>
    <row r="8">
      <c r="A8" s="20" t="inlineStr">
        <is>
          <t>P-PCI-003</t>
        </is>
      </c>
      <c r="B8" s="21" t="inlineStr">
        <is>
          <t>Revisión trimestral BIEs 25 mm</t>
        </is>
      </c>
      <c r="C8" s="20" t="inlineStr">
        <is>
          <t>ud</t>
        </is>
      </c>
      <c r="D8" s="20" t="n">
        <v>480</v>
      </c>
      <c r="E8" s="20" t="inlineStr">
        <is>
          <t>trimestral</t>
        </is>
      </c>
      <c r="F8" s="22" t="n"/>
      <c r="G8" s="23">
        <f>IFERROR(D8*F8,"")</f>
        <v/>
      </c>
      <c r="H8" s="21" t="inlineStr">
        <is>
          <t>120 BIEs × 4</t>
        </is>
      </c>
    </row>
    <row r="9">
      <c r="A9" s="20" t="inlineStr">
        <is>
          <t>P-PCI-004</t>
        </is>
      </c>
      <c r="B9" s="21" t="inlineStr">
        <is>
          <t>Prueba de presión BIEs</t>
        </is>
      </c>
      <c r="C9" s="20" t="inlineStr">
        <is>
          <t>ud</t>
        </is>
      </c>
      <c r="D9" s="20" t="n">
        <v>240</v>
      </c>
      <c r="E9" s="20" t="inlineStr">
        <is>
          <t>semestral</t>
        </is>
      </c>
      <c r="F9" s="22" t="n"/>
      <c r="G9" s="23">
        <f>IFERROR(D9*F9,"")</f>
        <v/>
      </c>
      <c r="H9" s="21" t="inlineStr"/>
    </row>
    <row r="10">
      <c r="A10" s="20" t="inlineStr">
        <is>
          <t>P-PCI-005</t>
        </is>
      </c>
      <c r="B10" s="21" t="inlineStr">
        <is>
          <t>Revisión trimestral sistema detección zona asistencial</t>
        </is>
      </c>
      <c r="C10" s="20" t="inlineStr">
        <is>
          <t>zona</t>
        </is>
      </c>
      <c r="D10" s="20" t="n">
        <v>160</v>
      </c>
      <c r="E10" s="20" t="inlineStr">
        <is>
          <t>trimestral</t>
        </is>
      </c>
      <c r="F10" s="22" t="n"/>
      <c r="G10" s="23">
        <f>IFERROR(D10*F10,"")</f>
        <v/>
      </c>
      <c r="H10" s="21" t="inlineStr">
        <is>
          <t>40 zonas × 4</t>
        </is>
      </c>
    </row>
    <row r="11">
      <c r="A11" s="20" t="inlineStr">
        <is>
          <t>P-PCI-006</t>
        </is>
      </c>
      <c r="B11" s="21" t="inlineStr">
        <is>
          <t>Revisión trimestral sistema detección zona técnica</t>
        </is>
      </c>
      <c r="C11" s="20" t="inlineStr">
        <is>
          <t>zona</t>
        </is>
      </c>
      <c r="D11" s="20" t="n">
        <v>80</v>
      </c>
      <c r="E11" s="20" t="inlineStr">
        <is>
          <t>trimestral</t>
        </is>
      </c>
      <c r="F11" s="22" t="n"/>
      <c r="G11" s="23">
        <f>IFERROR(D11*F11,"")</f>
        <v/>
      </c>
      <c r="H11" s="21" t="inlineStr">
        <is>
          <t>20 zonas × 4</t>
        </is>
      </c>
    </row>
    <row r="12">
      <c r="A12" s="20" t="inlineStr">
        <is>
          <t>P-PCI-007</t>
        </is>
      </c>
      <c r="B12" s="21" t="inlineStr">
        <is>
          <t>Ensayo funcional detectores humo (muestreo 5%)</t>
        </is>
      </c>
      <c r="C12" s="20" t="inlineStr">
        <is>
          <t>ud</t>
        </is>
      </c>
      <c r="D12" s="20" t="n">
        <v>400</v>
      </c>
      <c r="E12" s="20" t="inlineStr">
        <is>
          <t>semestral</t>
        </is>
      </c>
      <c r="F12" s="22" t="n"/>
      <c r="G12" s="23">
        <f>IFERROR(D12*F12,"")</f>
        <v/>
      </c>
      <c r="H12" s="21" t="inlineStr"/>
    </row>
    <row r="13">
      <c r="A13" s="20" t="inlineStr">
        <is>
          <t>P-PCI-008</t>
        </is>
      </c>
      <c r="B13" s="21" t="inlineStr">
        <is>
          <t>Ensayo funcional detectores térmicos</t>
        </is>
      </c>
      <c r="C13" s="20" t="inlineStr">
        <is>
          <t>ud</t>
        </is>
      </c>
      <c r="D13" s="20" t="n">
        <v>60</v>
      </c>
      <c r="E13" s="20" t="inlineStr">
        <is>
          <t>semestral</t>
        </is>
      </c>
      <c r="F13" s="22" t="n"/>
      <c r="G13" s="23">
        <f>IFERROR(D13*F13,"")</f>
        <v/>
      </c>
      <c r="H13" s="21" t="inlineStr"/>
    </row>
    <row r="14">
      <c r="A14" s="20" t="inlineStr">
        <is>
          <t>P-PCI-009</t>
        </is>
      </c>
      <c r="B14" s="21" t="inlineStr">
        <is>
          <t>Revisión trimestral central de incendios principal</t>
        </is>
      </c>
      <c r="C14" s="20" t="inlineStr">
        <is>
          <t>ud</t>
        </is>
      </c>
      <c r="D14" s="20" t="n">
        <v>4</v>
      </c>
      <c r="E14" s="20" t="inlineStr">
        <is>
          <t>trimestral</t>
        </is>
      </c>
      <c r="F14" s="22" t="n"/>
      <c r="G14" s="23">
        <f>IFERROR(D14*F14,"")</f>
        <v/>
      </c>
      <c r="H14" s="21" t="inlineStr"/>
    </row>
    <row r="15">
      <c r="A15" s="20" t="inlineStr">
        <is>
          <t>P-PCI-010</t>
        </is>
      </c>
      <c r="B15" s="21" t="inlineStr">
        <is>
          <t>Revisión trimestral centrales secundarias</t>
        </is>
      </c>
      <c r="C15" s="20" t="inlineStr">
        <is>
          <t>ud</t>
        </is>
      </c>
      <c r="D15" s="20" t="n">
        <v>16</v>
      </c>
      <c r="E15" s="20" t="inlineStr">
        <is>
          <t>trimestral</t>
        </is>
      </c>
      <c r="F15" s="22" t="n"/>
      <c r="G15" s="23">
        <f>IFERROR(D15*F15,"")</f>
        <v/>
      </c>
      <c r="H15" s="21" t="inlineStr"/>
    </row>
    <row r="16">
      <c r="A16" s="20" t="inlineStr">
        <is>
          <t>P-PCI-011</t>
        </is>
      </c>
      <c r="B16" s="21" t="inlineStr">
        <is>
          <t>Revisión pulsadores alarma manual</t>
        </is>
      </c>
      <c r="C16" s="20" t="inlineStr">
        <is>
          <t>ud</t>
        </is>
      </c>
      <c r="D16" s="20" t="n">
        <v>200</v>
      </c>
      <c r="E16" s="20" t="inlineStr">
        <is>
          <t>anual</t>
        </is>
      </c>
      <c r="F16" s="22" t="n"/>
      <c r="G16" s="23">
        <f>IFERROR(D16*F16,"")</f>
        <v/>
      </c>
      <c r="H16" s="21" t="inlineStr"/>
    </row>
    <row r="17">
      <c r="A17" s="20" t="inlineStr">
        <is>
          <t>P-PCI-012</t>
        </is>
      </c>
      <c r="B17" s="21" t="inlineStr">
        <is>
          <t>Revisión rociadores (por cabezal)</t>
        </is>
      </c>
      <c r="C17" s="20" t="inlineStr">
        <is>
          <t>ud</t>
        </is>
      </c>
      <c r="D17" s="20" t="n">
        <v>4800</v>
      </c>
      <c r="E17" s="20" t="inlineStr">
        <is>
          <t>anual</t>
        </is>
      </c>
      <c r="F17" s="22" t="n"/>
      <c r="G17" s="23">
        <f>IFERROR(D17*F17,"")</f>
        <v/>
      </c>
      <c r="H17" s="21" t="inlineStr">
        <is>
          <t>Muestreo visual + presión</t>
        </is>
      </c>
    </row>
    <row r="18">
      <c r="A18" s="20" t="inlineStr">
        <is>
          <t>P-PCI-013</t>
        </is>
      </c>
      <c r="B18" s="21" t="inlineStr">
        <is>
          <t>Revisión anual puestos de control rociadores</t>
        </is>
      </c>
      <c r="C18" s="20" t="inlineStr">
        <is>
          <t>ud</t>
        </is>
      </c>
      <c r="D18" s="20" t="n">
        <v>12</v>
      </c>
      <c r="E18" s="20" t="inlineStr">
        <is>
          <t>anual</t>
        </is>
      </c>
      <c r="F18" s="22" t="n"/>
      <c r="G18" s="23">
        <f>IFERROR(D18*F18,"")</f>
        <v/>
      </c>
      <c r="H18" s="21" t="inlineStr"/>
    </row>
    <row r="19">
      <c r="A19" s="20" t="inlineStr">
        <is>
          <t>P-PCI-014</t>
        </is>
      </c>
      <c r="B19" s="21" t="inlineStr">
        <is>
          <t>Ensayo anual bomba jockey sistema rociadores</t>
        </is>
      </c>
      <c r="C19" s="20" t="inlineStr">
        <is>
          <t>ud</t>
        </is>
      </c>
      <c r="D19" s="20" t="n">
        <v>4</v>
      </c>
      <c r="E19" s="20" t="inlineStr">
        <is>
          <t>anual</t>
        </is>
      </c>
      <c r="F19" s="22" t="n"/>
      <c r="G19" s="23">
        <f>IFERROR(D19*F19,"")</f>
        <v/>
      </c>
      <c r="H19" s="21" t="inlineStr"/>
    </row>
    <row r="20">
      <c r="A20" s="20" t="inlineStr">
        <is>
          <t>P-PCI-015</t>
        </is>
      </c>
      <c r="B20" s="21" t="inlineStr">
        <is>
          <t>Revisión anual sistemas de detección aspirativa laboratorios</t>
        </is>
      </c>
      <c r="C20" s="20" t="inlineStr">
        <is>
          <t>ud</t>
        </is>
      </c>
      <c r="D20" s="20" t="n">
        <v>8</v>
      </c>
      <c r="E20" s="20" t="inlineStr">
        <is>
          <t>anual</t>
        </is>
      </c>
      <c r="F20" s="22" t="n"/>
      <c r="G20" s="23">
        <f>IFERROR(D20*F20,"")</f>
        <v/>
      </c>
      <c r="H20" s="21" t="inlineStr"/>
    </row>
    <row r="21">
      <c r="A21" s="20" t="inlineStr">
        <is>
          <t>P-PCI-016</t>
        </is>
      </c>
      <c r="B21" s="21" t="inlineStr">
        <is>
          <t>Revisión trimestral puertas cortafuegos (mecanismo)</t>
        </is>
      </c>
      <c r="C21" s="20" t="inlineStr">
        <is>
          <t>ud</t>
        </is>
      </c>
      <c r="D21" s="20" t="n">
        <v>360</v>
      </c>
      <c r="E21" s="20" t="inlineStr">
        <is>
          <t>trimestral</t>
        </is>
      </c>
      <c r="F21" s="22" t="n"/>
      <c r="G21" s="23">
        <f>IFERROR(D21*F21,"")</f>
        <v/>
      </c>
      <c r="H21" s="21" t="inlineStr">
        <is>
          <t>90 puertas × 4</t>
        </is>
      </c>
    </row>
    <row r="22">
      <c r="A22" s="20" t="inlineStr">
        <is>
          <t>P-PCI-017</t>
        </is>
      </c>
      <c r="B22" s="21" t="inlineStr">
        <is>
          <t>Revisión anual compuertas sectorización conductos</t>
        </is>
      </c>
      <c r="C22" s="20" t="inlineStr">
        <is>
          <t>ud</t>
        </is>
      </c>
      <c r="D22" s="20" t="n">
        <v>120</v>
      </c>
      <c r="E22" s="20" t="inlineStr">
        <is>
          <t>anual</t>
        </is>
      </c>
      <c r="F22" s="22" t="n"/>
      <c r="G22" s="23">
        <f>IFERROR(D22*F22,"")</f>
        <v/>
      </c>
      <c r="H22" s="21" t="inlineStr"/>
    </row>
    <row r="23">
      <c r="A23" s="20" t="inlineStr">
        <is>
          <t>P-PCI-018</t>
        </is>
      </c>
      <c r="B23" s="21" t="inlineStr">
        <is>
          <t>Revisión anual exutorios de humos</t>
        </is>
      </c>
      <c r="C23" s="20" t="inlineStr">
        <is>
          <t>ud</t>
        </is>
      </c>
      <c r="D23" s="20" t="n">
        <v>20</v>
      </c>
      <c r="E23" s="20" t="inlineStr">
        <is>
          <t>anual</t>
        </is>
      </c>
      <c r="F23" s="22" t="n"/>
      <c r="G23" s="23">
        <f>IFERROR(D23*F23,"")</f>
        <v/>
      </c>
      <c r="H23" s="21" t="inlineStr"/>
    </row>
    <row r="24">
      <c r="A24" s="20" t="inlineStr">
        <is>
          <t>P-PCI-019</t>
        </is>
      </c>
      <c r="B24" s="21" t="inlineStr">
        <is>
          <t>Revisión trimestral iluminación emergencia sectores PCI</t>
        </is>
      </c>
      <c r="C24" s="20" t="inlineStr">
        <is>
          <t>ud</t>
        </is>
      </c>
      <c r="D24" s="20" t="n">
        <v>600</v>
      </c>
      <c r="E24" s="20" t="inlineStr">
        <is>
          <t>trimestral</t>
        </is>
      </c>
      <c r="F24" s="22" t="n"/>
      <c r="G24" s="23">
        <f>IFERROR(D24*F24,"")</f>
        <v/>
      </c>
      <c r="H24" s="21" t="inlineStr">
        <is>
          <t>DUPLICADO con P-ELE-023?</t>
        </is>
      </c>
    </row>
    <row r="25">
      <c r="A25" s="20" t="inlineStr">
        <is>
          <t>P-PCI-020</t>
        </is>
      </c>
      <c r="B25" s="21" t="inlineStr">
        <is>
          <t>Verificación señalización fotoluminiscente</t>
        </is>
      </c>
      <c r="C25" s="20" t="inlineStr">
        <is>
          <t>ud</t>
        </is>
      </c>
      <c r="D25" s="20" t="n">
        <v>800</v>
      </c>
      <c r="E25" s="20" t="inlineStr">
        <is>
          <t>semestral</t>
        </is>
      </c>
      <c r="F25" s="22" t="n"/>
      <c r="G25" s="23">
        <f>IFERROR(D25*F25,"")</f>
        <v/>
      </c>
      <c r="H25" s="21" t="inlineStr"/>
    </row>
    <row r="26">
      <c r="A26" s="20" t="inlineStr">
        <is>
          <t>P-PCI-021</t>
        </is>
      </c>
      <c r="B26" s="21" t="inlineStr">
        <is>
          <t>Mantenimiento anual instalación fija CO2 centro control</t>
        </is>
      </c>
      <c r="C26" s="20" t="inlineStr">
        <is>
          <t>ud</t>
        </is>
      </c>
      <c r="D26" s="20" t="n">
        <v>1</v>
      </c>
      <c r="E26" s="20" t="inlineStr">
        <is>
          <t>anual</t>
        </is>
      </c>
      <c r="F26" s="22" t="n"/>
      <c r="G26" s="23">
        <f>IFERROR(D26*F26,"")</f>
        <v/>
      </c>
      <c r="H26" s="21" t="inlineStr">
        <is>
          <t>SISTEMA SINGULAR</t>
        </is>
      </c>
    </row>
    <row r="27">
      <c r="A27" s="20" t="inlineStr">
        <is>
          <t>P-PCI-022</t>
        </is>
      </c>
      <c r="B27" s="21" t="inlineStr">
        <is>
          <t>Mantenimiento anual instalación fija gas FM-200 CPD</t>
        </is>
      </c>
      <c r="C27" s="20" t="inlineStr">
        <is>
          <t>ud</t>
        </is>
      </c>
      <c r="D27" s="20" t="n">
        <v>1</v>
      </c>
      <c r="E27" s="20" t="inlineStr">
        <is>
          <t>anual</t>
        </is>
      </c>
      <c r="F27" s="22" t="n"/>
      <c r="G27" s="23">
        <f>IFERROR(D27*F27,"")</f>
        <v/>
      </c>
      <c r="H27" s="21" t="inlineStr">
        <is>
          <t>SISTEMA SINGULAR</t>
        </is>
      </c>
    </row>
    <row r="28">
      <c r="A28" s="20" t="inlineStr">
        <is>
          <t>P-PCI-023</t>
        </is>
      </c>
      <c r="B28" s="21" t="inlineStr">
        <is>
          <t>Hora técnico oficial 1ª PCI — correctivo</t>
        </is>
      </c>
      <c r="C28" s="20" t="inlineStr">
        <is>
          <t>h</t>
        </is>
      </c>
      <c r="D28" s="20" t="n">
        <v>400</v>
      </c>
      <c r="E28" s="20" t="inlineStr">
        <is>
          <t>bolsa anual</t>
        </is>
      </c>
      <c r="F28" s="22" t="n"/>
      <c r="G28" s="23">
        <f>IFERROR(D28*F28,"")</f>
        <v/>
      </c>
      <c r="H28" s="21" t="inlineStr"/>
    </row>
    <row r="29">
      <c r="A29" s="20" t="inlineStr">
        <is>
          <t>P-PCI-024</t>
        </is>
      </c>
      <c r="B29" s="21" t="inlineStr">
        <is>
          <t>Gestión residuos agentes extintores retirados</t>
        </is>
      </c>
      <c r="C29" s="20" t="inlineStr">
        <is>
          <t>kg</t>
        </is>
      </c>
      <c r="D29" s="20" t="n">
        <v>120</v>
      </c>
      <c r="E29" s="20" t="inlineStr">
        <is>
          <t>anual</t>
        </is>
      </c>
      <c r="F29" s="22" t="n"/>
      <c r="G29" s="23">
        <f>IFERROR(D29*F29,"")</f>
        <v/>
      </c>
      <c r="H29" s="21" t="inlineStr"/>
    </row>
    <row r="30">
      <c r="A30" s="20" t="inlineStr">
        <is>
          <t>P-PCI-025</t>
        </is>
      </c>
      <c r="B30" s="21" t="inlineStr">
        <is>
          <t>Auditoría anual plan preventivo PCI</t>
        </is>
      </c>
      <c r="C30" s="20" t="inlineStr">
        <is>
          <t>ud</t>
        </is>
      </c>
      <c r="D30" s="20" t="n">
        <v>1</v>
      </c>
      <c r="E30" s="20" t="inlineStr">
        <is>
          <t>anual</t>
        </is>
      </c>
      <c r="F30" s="22" t="n"/>
      <c r="G30" s="23">
        <f>IFERROR(D30*F30,"")</f>
        <v/>
      </c>
      <c r="H30" s="21" t="inlineStr"/>
    </row>
    <row r="32">
      <c r="F32" s="24" t="inlineStr">
        <is>
          <t>Subtotal capítulo 3:</t>
        </is>
      </c>
      <c r="G32" s="25">
        <f>SUM(G6:G30)</f>
        <v/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55" customWidth="1" min="2" max="2"/>
    <col width="10" customWidth="1" min="3" max="3"/>
    <col width="13" customWidth="1" min="4" max="4"/>
    <col width="14" customWidth="1" min="5" max="5"/>
    <col width="18" customWidth="1" min="6" max="6"/>
    <col width="16" customWidth="1" min="7" max="7"/>
    <col width="30" customWidth="1" min="8" max="8"/>
  </cols>
  <sheetData>
    <row r="1">
      <c r="A1" s="4" t="inlineStr">
        <is>
          <t>CAPÍTULO 4</t>
        </is>
      </c>
    </row>
    <row r="2" ht="22" customHeight="1">
      <c r="A2" s="18" t="inlineStr">
        <is>
          <t>FONTANERÍA Y ACS</t>
        </is>
      </c>
    </row>
    <row r="3">
      <c r="A3" s="19" t="inlineStr">
        <is>
          <t>Cliente: Hospital Universitari Vall d'Hebron — Expediente: HUV-2026-MANT-INT</t>
        </is>
      </c>
    </row>
    <row r="5">
      <c r="A5" s="8" t="inlineStr">
        <is>
          <t>Código</t>
        </is>
      </c>
      <c r="B5" s="8" t="inlineStr">
        <is>
          <t>Descripción</t>
        </is>
      </c>
      <c r="C5" s="8" t="inlineStr">
        <is>
          <t>Unidad</t>
        </is>
      </c>
      <c r="D5" s="8" t="inlineStr">
        <is>
          <t>Cantidad anual</t>
        </is>
      </c>
      <c r="E5" s="8" t="inlineStr">
        <is>
          <t>Frecuencia</t>
        </is>
      </c>
      <c r="F5" s="8" t="inlineStr">
        <is>
          <t>Precio unitario oferta (€)</t>
        </is>
      </c>
      <c r="G5" s="8" t="inlineStr">
        <is>
          <t>Total (€)</t>
        </is>
      </c>
      <c r="H5" s="8" t="inlineStr">
        <is>
          <t>Observaciones cliente</t>
        </is>
      </c>
    </row>
    <row r="6">
      <c r="A6" s="20" t="inlineStr">
        <is>
          <t>P-FON-001</t>
        </is>
      </c>
      <c r="B6" s="21" t="inlineStr">
        <is>
          <t>Ronda mensual sala calderas</t>
        </is>
      </c>
      <c r="C6" s="20" t="inlineStr">
        <is>
          <t>ud</t>
        </is>
      </c>
      <c r="D6" s="20" t="n">
        <v>12</v>
      </c>
      <c r="E6" s="20" t="inlineStr">
        <is>
          <t>mensual</t>
        </is>
      </c>
      <c r="F6" s="22" t="n"/>
      <c r="G6" s="23">
        <f>IFERROR(D6*F6,"")</f>
        <v/>
      </c>
      <c r="H6" s="21" t="inlineStr"/>
    </row>
    <row r="7">
      <c r="A7" s="20" t="inlineStr">
        <is>
          <t>P-FON-002</t>
        </is>
      </c>
      <c r="B7" s="21" t="inlineStr">
        <is>
          <t>Análisis mensual temperatura ACS (red)</t>
        </is>
      </c>
      <c r="C7" s="20" t="inlineStr">
        <is>
          <t>punto</t>
        </is>
      </c>
      <c r="D7" s="20" t="n">
        <v>120</v>
      </c>
      <c r="E7" s="20" t="inlineStr">
        <is>
          <t>mensual</t>
        </is>
      </c>
      <c r="F7" s="22" t="n"/>
      <c r="G7" s="23">
        <f>IFERROR(D7*F7,"")</f>
        <v/>
      </c>
      <c r="H7" s="21" t="inlineStr">
        <is>
          <t>10 puntos × 12 meses</t>
        </is>
      </c>
    </row>
    <row r="8">
      <c r="A8" s="20" t="inlineStr">
        <is>
          <t>P-FON-003</t>
        </is>
      </c>
      <c r="B8" s="21" t="inlineStr">
        <is>
          <t>Análisis quincenal temperatura acumuladores ACS</t>
        </is>
      </c>
      <c r="C8" s="20" t="inlineStr">
        <is>
          <t>ud</t>
        </is>
      </c>
      <c r="D8" s="20" t="n">
        <v>96</v>
      </c>
      <c r="E8" s="20" t="inlineStr">
        <is>
          <t>quincenal</t>
        </is>
      </c>
      <c r="F8" s="22" t="n"/>
      <c r="G8" s="23">
        <f>IFERROR(D8*F8,"")</f>
        <v/>
      </c>
      <c r="H8" s="21" t="inlineStr">
        <is>
          <t>4 acumuladores × 24</t>
        </is>
      </c>
    </row>
    <row r="9">
      <c r="A9" s="20" t="inlineStr">
        <is>
          <t>P-FON-004</t>
        </is>
      </c>
      <c r="B9" s="21" t="inlineStr">
        <is>
          <t>Limpieza y desinfección filtros agua potable</t>
        </is>
      </c>
      <c r="C9" s="20" t="inlineStr">
        <is>
          <t>ud</t>
        </is>
      </c>
      <c r="D9" s="20" t="n">
        <v>48</v>
      </c>
      <c r="E9" s="20" t="inlineStr">
        <is>
          <t>trimestral</t>
        </is>
      </c>
      <c r="F9" s="22" t="n"/>
      <c r="G9" s="23">
        <f>IFERROR(D9*F9,"")</f>
        <v/>
      </c>
      <c r="H9" s="21" t="inlineStr"/>
    </row>
    <row r="10">
      <c r="A10" s="20" t="inlineStr">
        <is>
          <t>P-FON-005</t>
        </is>
      </c>
      <c r="B10" s="21" t="inlineStr">
        <is>
          <t>Choque térmico ACS red principal (mensual)</t>
        </is>
      </c>
      <c r="C10" s="20" t="inlineStr">
        <is>
          <t>ud</t>
        </is>
      </c>
      <c r="D10" s="20" t="n">
        <v>12</v>
      </c>
      <c r="E10" s="20" t="inlineStr">
        <is>
          <t>mensual</t>
        </is>
      </c>
      <c r="F10" s="22" t="n"/>
      <c r="G10" s="23">
        <f>IFERROR(D10*F10,"")</f>
        <v/>
      </c>
      <c r="H10" s="21" t="inlineStr"/>
    </row>
    <row r="11">
      <c r="A11" s="20" t="inlineStr">
        <is>
          <t>P-FON-006</t>
        </is>
      </c>
      <c r="B11" s="21" t="inlineStr">
        <is>
          <t>Choque térmico ACS red secundaria (trimestral)</t>
        </is>
      </c>
      <c r="C11" s="20" t="inlineStr">
        <is>
          <t>ud</t>
        </is>
      </c>
      <c r="D11" s="20" t="n">
        <v>16</v>
      </c>
      <c r="E11" s="20" t="inlineStr">
        <is>
          <t>trimestral</t>
        </is>
      </c>
      <c r="F11" s="22" t="n"/>
      <c r="G11" s="23">
        <f>IFERROR(D11*F11,"")</f>
        <v/>
      </c>
      <c r="H11" s="21" t="inlineStr">
        <is>
          <t>4 redes × 4</t>
        </is>
      </c>
    </row>
    <row r="12">
      <c r="A12" s="20" t="inlineStr">
        <is>
          <t>P-FON-007</t>
        </is>
      </c>
      <c r="B12" s="21" t="inlineStr">
        <is>
          <t>Análisis legionelosis laboratorio acreditado</t>
        </is>
      </c>
      <c r="C12" s="20" t="inlineStr">
        <is>
          <t>análisis</t>
        </is>
      </c>
      <c r="D12" s="20" t="n">
        <v>48</v>
      </c>
      <c r="E12" s="20" t="inlineStr">
        <is>
          <t>trimestral</t>
        </is>
      </c>
      <c r="F12" s="22" t="n"/>
      <c r="G12" s="23">
        <f>IFERROR(D12*F12,"")</f>
        <v/>
      </c>
      <c r="H12" s="21" t="inlineStr"/>
    </row>
    <row r="13">
      <c r="A13" s="20" t="inlineStr">
        <is>
          <t>P-FON-008</t>
        </is>
      </c>
      <c r="B13" s="21" t="inlineStr">
        <is>
          <t>Análisis químico agua sanitaria</t>
        </is>
      </c>
      <c r="C13" s="20" t="inlineStr">
        <is>
          <t>análisis</t>
        </is>
      </c>
      <c r="D13" s="20" t="n">
        <v>12</v>
      </c>
      <c r="E13" s="20" t="inlineStr">
        <is>
          <t>trimestral</t>
        </is>
      </c>
      <c r="F13" s="22" t="n"/>
      <c r="G13" s="23">
        <f>IFERROR(D13*F13,"")</f>
        <v/>
      </c>
      <c r="H13" s="21" t="inlineStr"/>
    </row>
    <row r="14">
      <c r="A14" s="20" t="inlineStr">
        <is>
          <t>P-FON-009</t>
        </is>
      </c>
      <c r="B14" s="21" t="inlineStr">
        <is>
          <t>Revisión grupos presión agua fría</t>
        </is>
      </c>
      <c r="C14" s="20" t="inlineStr">
        <is>
          <t>ud</t>
        </is>
      </c>
      <c r="D14" s="20" t="n">
        <v>24</v>
      </c>
      <c r="E14" s="20" t="inlineStr">
        <is>
          <t>trimestral</t>
        </is>
      </c>
      <c r="F14" s="22" t="n"/>
      <c r="G14" s="23">
        <f>IFERROR(D14*F14,"")</f>
        <v/>
      </c>
      <c r="H14" s="21" t="inlineStr">
        <is>
          <t>6 grupos × 4</t>
        </is>
      </c>
    </row>
    <row r="15">
      <c r="A15" s="20" t="inlineStr">
        <is>
          <t>P-FON-010</t>
        </is>
      </c>
      <c r="B15" s="21" t="inlineStr">
        <is>
          <t>Revisión calderas condensación gas</t>
        </is>
      </c>
      <c r="C15" s="20" t="inlineStr">
        <is>
          <t>ud</t>
        </is>
      </c>
      <c r="D15" s="20" t="n">
        <v>16</v>
      </c>
      <c r="E15" s="20" t="inlineStr">
        <is>
          <t>trimestral</t>
        </is>
      </c>
      <c r="F15" s="22" t="n"/>
      <c r="G15" s="23">
        <f>IFERROR(D15*F15,"")</f>
        <v/>
      </c>
      <c r="H15" s="21" t="inlineStr">
        <is>
          <t>4 calderas × 4</t>
        </is>
      </c>
    </row>
    <row r="16">
      <c r="A16" s="20" t="inlineStr">
        <is>
          <t>P-FON-011</t>
        </is>
      </c>
      <c r="B16" s="21" t="inlineStr">
        <is>
          <t>Revisión anual intercambiadores placa ACS</t>
        </is>
      </c>
      <c r="C16" s="20" t="inlineStr">
        <is>
          <t>ud</t>
        </is>
      </c>
      <c r="D16" s="20" t="n">
        <v>4</v>
      </c>
      <c r="E16" s="20" t="inlineStr">
        <is>
          <t>anual</t>
        </is>
      </c>
      <c r="F16" s="22" t="n"/>
      <c r="G16" s="23">
        <f>IFERROR(D16*F16,"")</f>
        <v/>
      </c>
      <c r="H16" s="21" t="inlineStr"/>
    </row>
    <row r="17">
      <c r="A17" s="20" t="inlineStr">
        <is>
          <t>P-FON-012</t>
        </is>
      </c>
      <c r="B17" s="21" t="inlineStr">
        <is>
          <t>Revisión anual descalcificadores</t>
        </is>
      </c>
      <c r="C17" s="20" t="inlineStr">
        <is>
          <t>ud</t>
        </is>
      </c>
      <c r="D17" s="20" t="n">
        <v>2</v>
      </c>
      <c r="E17" s="20" t="inlineStr">
        <is>
          <t>anual</t>
        </is>
      </c>
      <c r="F17" s="22" t="n"/>
      <c r="G17" s="23">
        <f>IFERROR(D17*F17,"")</f>
        <v/>
      </c>
      <c r="H17" s="21" t="inlineStr"/>
    </row>
    <row r="18">
      <c r="A18" s="20" t="inlineStr">
        <is>
          <t>P-FON-013</t>
        </is>
      </c>
      <c r="B18" s="21" t="inlineStr">
        <is>
          <t>Limpieza y desincrustación serpentines calderas</t>
        </is>
      </c>
      <c r="C18" s="20" t="inlineStr">
        <is>
          <t>ud</t>
        </is>
      </c>
      <c r="D18" s="20" t="n">
        <v>4</v>
      </c>
      <c r="E18" s="20" t="inlineStr">
        <is>
          <t>anual</t>
        </is>
      </c>
      <c r="F18" s="22" t="n"/>
      <c r="G18" s="23">
        <f>IFERROR(D18*F18,"")</f>
        <v/>
      </c>
      <c r="H18" s="21" t="inlineStr"/>
    </row>
    <row r="19">
      <c r="A19" s="20" t="inlineStr">
        <is>
          <t>P-FON-014</t>
        </is>
      </c>
      <c r="B19" s="21" t="inlineStr">
        <is>
          <t>Revisión anual tanques ACS</t>
        </is>
      </c>
      <c r="C19" s="20" t="inlineStr">
        <is>
          <t>ud</t>
        </is>
      </c>
      <c r="D19" s="20" t="n">
        <v>4</v>
      </c>
      <c r="E19" s="20" t="inlineStr">
        <is>
          <t>anual</t>
        </is>
      </c>
      <c r="F19" s="22" t="n"/>
      <c r="G19" s="23">
        <f>IFERROR(D19*F19,"")</f>
        <v/>
      </c>
      <c r="H19" s="21" t="inlineStr"/>
    </row>
    <row r="20">
      <c r="A20" s="20" t="inlineStr">
        <is>
          <t>P-FON-015</t>
        </is>
      </c>
      <c r="B20" s="21" t="inlineStr">
        <is>
          <t>Ensayo anual válvulas seguridad circuito primario</t>
        </is>
      </c>
      <c r="C20" s="20" t="inlineStr">
        <is>
          <t>ud</t>
        </is>
      </c>
      <c r="D20" s="20" t="n">
        <v>12</v>
      </c>
      <c r="E20" s="20" t="inlineStr">
        <is>
          <t>anual</t>
        </is>
      </c>
      <c r="F20" s="22" t="n"/>
      <c r="G20" s="23">
        <f>IFERROR(D20*F20,"")</f>
        <v/>
      </c>
      <c r="H20" s="21" t="inlineStr"/>
    </row>
    <row r="21">
      <c r="A21" s="20" t="inlineStr">
        <is>
          <t>P-FON-016</t>
        </is>
      </c>
      <c r="B21" s="21" t="inlineStr">
        <is>
          <t>Revisión grupos bombeo saneamiento edificios</t>
        </is>
      </c>
      <c r="C21" s="20" t="inlineStr">
        <is>
          <t>ud</t>
        </is>
      </c>
      <c r="D21" s="20" t="n">
        <v>8</v>
      </c>
      <c r="E21" s="20" t="inlineStr">
        <is>
          <t>trimestral</t>
        </is>
      </c>
      <c r="F21" s="22" t="n"/>
      <c r="G21" s="23">
        <f>IFERROR(D21*F21,"")</f>
        <v/>
      </c>
      <c r="H21" s="21" t="inlineStr"/>
    </row>
    <row r="22">
      <c r="A22" s="20" t="inlineStr">
        <is>
          <t>P-FON-017</t>
        </is>
      </c>
      <c r="B22" s="21" t="inlineStr">
        <is>
          <t>Limpieza anual arquetas sistemas pluviales</t>
        </is>
      </c>
      <c r="C22" s="20" t="inlineStr">
        <is>
          <t>ud</t>
        </is>
      </c>
      <c r="D22" s="20" t="n">
        <v>40</v>
      </c>
      <c r="E22" s="20" t="inlineStr">
        <is>
          <t>anual</t>
        </is>
      </c>
      <c r="F22" s="22" t="n"/>
      <c r="G22" s="23">
        <f>IFERROR(D22*F22,"")</f>
        <v/>
      </c>
      <c r="H22" s="21" t="inlineStr"/>
    </row>
    <row r="23">
      <c r="A23" s="20" t="inlineStr">
        <is>
          <t>P-FON-018</t>
        </is>
      </c>
      <c r="B23" s="21" t="inlineStr">
        <is>
          <t>Mantenimiento planta agua ultrapura laboratorio</t>
        </is>
      </c>
      <c r="C23" s="20" t="inlineStr">
        <is>
          <t>ud</t>
        </is>
      </c>
      <c r="D23" s="20" t="n">
        <v>12</v>
      </c>
      <c r="E23" s="20" t="inlineStr">
        <is>
          <t>mensual</t>
        </is>
      </c>
      <c r="F23" s="22" t="n"/>
      <c r="G23" s="23">
        <f>IFERROR(D23*F23,"")</f>
        <v/>
      </c>
      <c r="H23" s="21" t="inlineStr">
        <is>
          <t>SISTEMA SINGULAR LAB</t>
        </is>
      </c>
    </row>
    <row r="24">
      <c r="A24" s="20" t="inlineStr">
        <is>
          <t>P-FON-019</t>
        </is>
      </c>
      <c r="B24" s="21" t="inlineStr">
        <is>
          <t>Hora técnico oficial 1ª fontanería — correctivo</t>
        </is>
      </c>
      <c r="C24" s="20" t="inlineStr">
        <is>
          <t>h</t>
        </is>
      </c>
      <c r="D24" s="20" t="n">
        <v>400</v>
      </c>
      <c r="E24" s="20" t="inlineStr">
        <is>
          <t>bolsa anual</t>
        </is>
      </c>
      <c r="F24" s="22" t="n"/>
      <c r="G24" s="23">
        <f>IFERROR(D24*F24,"")</f>
        <v/>
      </c>
      <c r="H24" s="21" t="inlineStr"/>
    </row>
    <row r="25">
      <c r="A25" s="20" t="inlineStr">
        <is>
          <t>P-FON-020</t>
        </is>
      </c>
      <c r="B25" s="21" t="inlineStr">
        <is>
          <t>Hora fontanero guardia 24/7</t>
        </is>
      </c>
      <c r="C25" s="20" t="inlineStr">
        <is>
          <t>h</t>
        </is>
      </c>
      <c r="D25" s="20" t="n">
        <v>150</v>
      </c>
      <c r="E25" s="20" t="inlineStr">
        <is>
          <t>bolsa anual</t>
        </is>
      </c>
      <c r="F25" s="22" t="n"/>
      <c r="G25" s="23">
        <f>IFERROR(D25*F25,"")</f>
        <v/>
      </c>
      <c r="H25" s="21" t="inlineStr"/>
    </row>
    <row r="27">
      <c r="F27" s="24" t="inlineStr">
        <is>
          <t>Subtotal capítulo 4:</t>
        </is>
      </c>
      <c r="G27" s="25">
        <f>SUM(G6:G25)</f>
        <v/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55" customWidth="1" min="2" max="2"/>
    <col width="10" customWidth="1" min="3" max="3"/>
    <col width="13" customWidth="1" min="4" max="4"/>
    <col width="14" customWidth="1" min="5" max="5"/>
    <col width="18" customWidth="1" min="6" max="6"/>
    <col width="16" customWidth="1" min="7" max="7"/>
    <col width="30" customWidth="1" min="8" max="8"/>
  </cols>
  <sheetData>
    <row r="1">
      <c r="A1" s="4" t="inlineStr">
        <is>
          <t>CAPÍTULO 5</t>
        </is>
      </c>
    </row>
    <row r="2" ht="22" customHeight="1">
      <c r="A2" s="18" t="inlineStr">
        <is>
          <t>APARATOS ELEVADORES</t>
        </is>
      </c>
    </row>
    <row r="3">
      <c r="A3" s="19" t="inlineStr">
        <is>
          <t>Cliente: Hospital Universitari Vall d'Hebron — Expediente: HUV-2026-MANT-INT</t>
        </is>
      </c>
    </row>
    <row r="5">
      <c r="A5" s="8" t="inlineStr">
        <is>
          <t>Código</t>
        </is>
      </c>
      <c r="B5" s="8" t="inlineStr">
        <is>
          <t>Descripción</t>
        </is>
      </c>
      <c r="C5" s="8" t="inlineStr">
        <is>
          <t>Unidad</t>
        </is>
      </c>
      <c r="D5" s="8" t="inlineStr">
        <is>
          <t>Cantidad anual</t>
        </is>
      </c>
      <c r="E5" s="8" t="inlineStr">
        <is>
          <t>Frecuencia</t>
        </is>
      </c>
      <c r="F5" s="8" t="inlineStr">
        <is>
          <t>Precio unitario oferta (€)</t>
        </is>
      </c>
      <c r="G5" s="8" t="inlineStr">
        <is>
          <t>Total (€)</t>
        </is>
      </c>
      <c r="H5" s="8" t="inlineStr">
        <is>
          <t>Observaciones cliente</t>
        </is>
      </c>
    </row>
    <row r="6">
      <c r="A6" s="20" t="inlineStr">
        <is>
          <t>P-ELV-001</t>
        </is>
      </c>
      <c r="B6" s="21" t="inlineStr">
        <is>
          <t>Revisión mensual ascensores asistenciales</t>
        </is>
      </c>
      <c r="C6" s="20" t="inlineStr">
        <is>
          <t>ud</t>
        </is>
      </c>
      <c r="D6" s="20" t="n">
        <v>144</v>
      </c>
      <c r="E6" s="20" t="inlineStr">
        <is>
          <t>mensual</t>
        </is>
      </c>
      <c r="F6" s="22" t="n"/>
      <c r="G6" s="23">
        <f>IFERROR(D6*F6,"")</f>
        <v/>
      </c>
      <c r="H6" s="21" t="inlineStr">
        <is>
          <t>12 ascensores × 12</t>
        </is>
      </c>
    </row>
    <row r="7">
      <c r="A7" s="20" t="inlineStr">
        <is>
          <t>P-ELV-002</t>
        </is>
      </c>
      <c r="B7" s="21" t="inlineStr">
        <is>
          <t>Revisión mensual ascensores servicio</t>
        </is>
      </c>
      <c r="C7" s="20" t="inlineStr">
        <is>
          <t>ud</t>
        </is>
      </c>
      <c r="D7" s="20" t="n">
        <v>96</v>
      </c>
      <c r="E7" s="20" t="inlineStr">
        <is>
          <t>mensual</t>
        </is>
      </c>
      <c r="F7" s="22" t="n"/>
      <c r="G7" s="23">
        <f>IFERROR(D7*F7,"")</f>
        <v/>
      </c>
      <c r="H7" s="21" t="inlineStr">
        <is>
          <t>8 ascensores × 12</t>
        </is>
      </c>
    </row>
    <row r="8">
      <c r="A8" s="20" t="inlineStr">
        <is>
          <t>P-ELV-003</t>
        </is>
      </c>
      <c r="B8" s="21" t="inlineStr">
        <is>
          <t>Revisión mensual montacargas</t>
        </is>
      </c>
      <c r="C8" s="20" t="inlineStr">
        <is>
          <t>ud</t>
        </is>
      </c>
      <c r="D8" s="20" t="n">
        <v>36</v>
      </c>
      <c r="E8" s="20" t="inlineStr">
        <is>
          <t>mensual</t>
        </is>
      </c>
      <c r="F8" s="22" t="n"/>
      <c r="G8" s="23">
        <f>IFERROR(D8*F8,"")</f>
        <v/>
      </c>
      <c r="H8" s="21" t="inlineStr">
        <is>
          <t>3 montacargas × 12</t>
        </is>
      </c>
    </row>
    <row r="9">
      <c r="A9" s="20" t="inlineStr">
        <is>
          <t>P-ELV-004</t>
        </is>
      </c>
      <c r="B9" s="21" t="inlineStr">
        <is>
          <t>Inspección reglamentaria periódica ascensores (bienal)</t>
        </is>
      </c>
      <c r="C9" s="20" t="inlineStr">
        <is>
          <t>ud</t>
        </is>
      </c>
      <c r="D9" s="20" t="n">
        <v>10</v>
      </c>
      <c r="E9" s="20" t="inlineStr">
        <is>
          <t>bolsa anual</t>
        </is>
      </c>
      <c r="F9" s="22" t="n"/>
      <c r="G9" s="23">
        <f>IFERROR(D9*F9,"")</f>
        <v/>
      </c>
      <c r="H9" s="21" t="inlineStr">
        <is>
          <t>Amortización 10/año</t>
        </is>
      </c>
    </row>
    <row r="10">
      <c r="A10" s="20" t="inlineStr">
        <is>
          <t>P-ELV-005</t>
        </is>
      </c>
      <c r="B10" s="21" t="inlineStr">
        <is>
          <t>Sustitución cables tracción (cuando procede)</t>
        </is>
      </c>
      <c r="C10" s="20" t="inlineStr">
        <is>
          <t>ud</t>
        </is>
      </c>
      <c r="D10" s="20" t="n">
        <v>2</v>
      </c>
      <c r="E10" s="20" t="inlineStr">
        <is>
          <t>bolsa anual</t>
        </is>
      </c>
      <c r="F10" s="22" t="n"/>
      <c r="G10" s="23">
        <f>IFERROR(D10*F10,"")</f>
        <v/>
      </c>
      <c r="H10" s="21" t="inlineStr">
        <is>
          <t>Según desgaste</t>
        </is>
      </c>
    </row>
    <row r="11">
      <c r="A11" s="20" t="inlineStr">
        <is>
          <t>P-ELV-006</t>
        </is>
      </c>
      <c r="B11" s="21" t="inlineStr">
        <is>
          <t>Lubricación guías y piezas mecánicas</t>
        </is>
      </c>
      <c r="C11" s="20" t="inlineStr">
        <is>
          <t>ud</t>
        </is>
      </c>
      <c r="D11" s="20" t="n">
        <v>23</v>
      </c>
      <c r="E11" s="20" t="inlineStr">
        <is>
          <t>trimestral</t>
        </is>
      </c>
      <c r="F11" s="22" t="n"/>
      <c r="G11" s="23">
        <f>IFERROR(D11*F11,"")</f>
        <v/>
      </c>
      <c r="H11" s="21" t="inlineStr"/>
    </row>
    <row r="12">
      <c r="A12" s="20" t="inlineStr">
        <is>
          <t>P-ELV-007</t>
        </is>
      </c>
      <c r="B12" s="21" t="inlineStr">
        <is>
          <t>Revisión trimestral botoneras y displays</t>
        </is>
      </c>
      <c r="C12" s="20" t="inlineStr">
        <is>
          <t>ud</t>
        </is>
      </c>
      <c r="D12" s="20" t="n">
        <v>92</v>
      </c>
      <c r="E12" s="20" t="inlineStr">
        <is>
          <t>trimestral</t>
        </is>
      </c>
      <c r="F12" s="22" t="n"/>
      <c r="G12" s="23">
        <f>IFERROR(D12*F12,"")</f>
        <v/>
      </c>
      <c r="H12" s="21" t="inlineStr"/>
    </row>
    <row r="13">
      <c r="A13" s="20" t="inlineStr">
        <is>
          <t>P-ELV-008</t>
        </is>
      </c>
      <c r="B13" s="21" t="inlineStr">
        <is>
          <t>Comprobación funcional sistema comunicación emergencia</t>
        </is>
      </c>
      <c r="C13" s="20" t="inlineStr">
        <is>
          <t>ud</t>
        </is>
      </c>
      <c r="D13" s="20" t="n">
        <v>46</v>
      </c>
      <c r="E13" s="20" t="inlineStr">
        <is>
          <t>semestral</t>
        </is>
      </c>
      <c r="F13" s="22" t="n"/>
      <c r="G13" s="23">
        <f>IFERROR(D13*F13,"")</f>
        <v/>
      </c>
      <c r="H13" s="21" t="inlineStr"/>
    </row>
    <row r="14">
      <c r="A14" s="20" t="inlineStr">
        <is>
          <t>P-ELV-009</t>
        </is>
      </c>
      <c r="B14" s="21" t="inlineStr">
        <is>
          <t>Revisión anual baterías sistema emergencia ascensor</t>
        </is>
      </c>
      <c r="C14" s="20" t="inlineStr">
        <is>
          <t>ud</t>
        </is>
      </c>
      <c r="D14" s="20" t="n">
        <v>23</v>
      </c>
      <c r="E14" s="20" t="inlineStr">
        <is>
          <t>anual</t>
        </is>
      </c>
      <c r="F14" s="22" t="n"/>
      <c r="G14" s="23">
        <f>IFERROR(D14*F14,"")</f>
        <v/>
      </c>
      <c r="H14" s="21" t="inlineStr"/>
    </row>
    <row r="15">
      <c r="A15" s="20" t="inlineStr">
        <is>
          <t>P-ELV-010</t>
        </is>
      </c>
      <c r="B15" s="21" t="inlineStr">
        <is>
          <t>Mantenimiento tractores y motores</t>
        </is>
      </c>
      <c r="C15" s="20" t="inlineStr">
        <is>
          <t>ud</t>
        </is>
      </c>
      <c r="D15" s="20" t="n">
        <v>23</v>
      </c>
      <c r="E15" s="20" t="inlineStr">
        <is>
          <t>anual</t>
        </is>
      </c>
      <c r="F15" s="22" t="n"/>
      <c r="G15" s="23">
        <f>IFERROR(D15*F15,"")</f>
        <v/>
      </c>
      <c r="H15" s="21" t="inlineStr"/>
    </row>
    <row r="16">
      <c r="A16" s="20" t="inlineStr">
        <is>
          <t>P-ELV-011</t>
        </is>
      </c>
      <c r="B16" s="21" t="inlineStr">
        <is>
          <t>Hora técnico ascensorista — correctivo</t>
        </is>
      </c>
      <c r="C16" s="20" t="inlineStr">
        <is>
          <t>h</t>
        </is>
      </c>
      <c r="D16" s="20" t="n">
        <v>400</v>
      </c>
      <c r="E16" s="20" t="inlineStr">
        <is>
          <t>bolsa anual</t>
        </is>
      </c>
      <c r="F16" s="22" t="n"/>
      <c r="G16" s="23">
        <f>IFERROR(D16*F16,"")</f>
        <v/>
      </c>
      <c r="H16" s="21" t="inlineStr"/>
    </row>
    <row r="17">
      <c r="A17" s="20" t="inlineStr">
        <is>
          <t>P-ELV-012</t>
        </is>
      </c>
      <c r="B17" s="21" t="inlineStr">
        <is>
          <t>Hora guardia 24/7 ascensores</t>
        </is>
      </c>
      <c r="C17" s="20" t="inlineStr">
        <is>
          <t>h</t>
        </is>
      </c>
      <c r="D17" s="20" t="n">
        <v>200</v>
      </c>
      <c r="E17" s="20" t="inlineStr">
        <is>
          <t>bolsa anual</t>
        </is>
      </c>
      <c r="F17" s="22" t="n"/>
      <c r="G17" s="23">
        <f>IFERROR(D17*F17,"")</f>
        <v/>
      </c>
      <c r="H17" s="21" t="inlineStr"/>
    </row>
    <row r="19">
      <c r="F19" s="24" t="inlineStr">
        <is>
          <t>Subtotal capítulo 5:</t>
        </is>
      </c>
      <c r="G19" s="25">
        <f>SUM(G6:G17)</f>
        <v/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55" customWidth="1" min="2" max="2"/>
    <col width="10" customWidth="1" min="3" max="3"/>
    <col width="13" customWidth="1" min="4" max="4"/>
    <col width="14" customWidth="1" min="5" max="5"/>
    <col width="18" customWidth="1" min="6" max="6"/>
    <col width="16" customWidth="1" min="7" max="7"/>
    <col width="30" customWidth="1" min="8" max="8"/>
  </cols>
  <sheetData>
    <row r="1">
      <c r="A1" s="4" t="inlineStr">
        <is>
          <t>CAPÍTULO 6</t>
        </is>
      </c>
    </row>
    <row r="2" ht="22" customHeight="1">
      <c r="A2" s="18" t="inlineStr">
        <is>
          <t>EQUIPOS ESPECIALES Y SINGULARES</t>
        </is>
      </c>
    </row>
    <row r="3">
      <c r="A3" s="19" t="inlineStr">
        <is>
          <t>Cliente: Hospital Universitari Vall d'Hebron — Expediente: HUV-2026-MANT-INT</t>
        </is>
      </c>
    </row>
    <row r="5">
      <c r="A5" s="8" t="inlineStr">
        <is>
          <t>Código</t>
        </is>
      </c>
      <c r="B5" s="8" t="inlineStr">
        <is>
          <t>Descripción</t>
        </is>
      </c>
      <c r="C5" s="8" t="inlineStr">
        <is>
          <t>Unidad</t>
        </is>
      </c>
      <c r="D5" s="8" t="inlineStr">
        <is>
          <t>Cantidad anual</t>
        </is>
      </c>
      <c r="E5" s="8" t="inlineStr">
        <is>
          <t>Frecuencia</t>
        </is>
      </c>
      <c r="F5" s="8" t="inlineStr">
        <is>
          <t>Precio unitario oferta (€)</t>
        </is>
      </c>
      <c r="G5" s="8" t="inlineStr">
        <is>
          <t>Total (€)</t>
        </is>
      </c>
      <c r="H5" s="8" t="inlineStr">
        <is>
          <t>Observaciones cliente</t>
        </is>
      </c>
    </row>
    <row r="6">
      <c r="A6" s="20" t="inlineStr">
        <is>
          <t>P-ESP-001</t>
        </is>
      </c>
      <c r="B6" s="21" t="inlineStr">
        <is>
          <t>Mantenimiento sistema aire comprimido medicinal</t>
        </is>
      </c>
      <c r="C6" s="20" t="inlineStr">
        <is>
          <t>ud</t>
        </is>
      </c>
      <c r="D6" s="20" t="n">
        <v>12</v>
      </c>
      <c r="E6" s="20" t="inlineStr">
        <is>
          <t>mensual</t>
        </is>
      </c>
      <c r="F6" s="22" t="n"/>
      <c r="G6" s="23">
        <f>IFERROR(D6*F6,"")</f>
        <v/>
      </c>
      <c r="H6" s="21" t="inlineStr">
        <is>
          <t>SISTEMA SINGULAR</t>
        </is>
      </c>
    </row>
    <row r="7">
      <c r="A7" s="20" t="inlineStr">
        <is>
          <t>P-ESP-002</t>
        </is>
      </c>
      <c r="B7" s="21" t="inlineStr">
        <is>
          <t>Análisis pureza aire medicinal</t>
        </is>
      </c>
      <c r="C7" s="20" t="inlineStr">
        <is>
          <t>análisis</t>
        </is>
      </c>
      <c r="D7" s="20" t="n">
        <v>4</v>
      </c>
      <c r="E7" s="20" t="inlineStr">
        <is>
          <t>trimestral</t>
        </is>
      </c>
      <c r="F7" s="22" t="n"/>
      <c r="G7" s="23">
        <f>IFERROR(D7*F7,"")</f>
        <v/>
      </c>
      <c r="H7" s="21" t="inlineStr">
        <is>
          <t>Normativa RD 1277/2003</t>
        </is>
      </c>
    </row>
    <row r="8">
      <c r="A8" s="20" t="inlineStr">
        <is>
          <t>P-ESP-003</t>
        </is>
      </c>
      <c r="B8" s="21" t="inlineStr">
        <is>
          <t>Mantenimiento sistema vacío medicinal</t>
        </is>
      </c>
      <c r="C8" s="20" t="inlineStr">
        <is>
          <t>ud</t>
        </is>
      </c>
      <c r="D8" s="20" t="n">
        <v>12</v>
      </c>
      <c r="E8" s="20" t="inlineStr">
        <is>
          <t>mensual</t>
        </is>
      </c>
      <c r="F8" s="22" t="n"/>
      <c r="G8" s="23">
        <f>IFERROR(D8*F8,"")</f>
        <v/>
      </c>
      <c r="H8" s="21" t="inlineStr"/>
    </row>
    <row r="9">
      <c r="A9" s="20" t="inlineStr">
        <is>
          <t>P-ESP-004</t>
        </is>
      </c>
      <c r="B9" s="21" t="inlineStr">
        <is>
          <t>Revisión central gases medicinales</t>
        </is>
      </c>
      <c r="C9" s="20" t="inlineStr">
        <is>
          <t>ud</t>
        </is>
      </c>
      <c r="D9" s="20" t="n">
        <v>12</v>
      </c>
      <c r="E9" s="20" t="inlineStr">
        <is>
          <t>mensual</t>
        </is>
      </c>
      <c r="F9" s="22" t="n"/>
      <c r="G9" s="23">
        <f>IFERROR(D9*F9,"")</f>
        <v/>
      </c>
      <c r="H9" s="21" t="inlineStr"/>
    </row>
    <row r="10">
      <c r="A10" s="20" t="inlineStr">
        <is>
          <t>P-ESP-005</t>
        </is>
      </c>
      <c r="B10" s="21" t="inlineStr">
        <is>
          <t>Control central CO2 criogénico laboratorio</t>
        </is>
      </c>
      <c r="C10" s="20" t="inlineStr">
        <is>
          <t>ud</t>
        </is>
      </c>
      <c r="D10" s="20" t="n">
        <v>12</v>
      </c>
      <c r="E10" s="20" t="inlineStr">
        <is>
          <t>mensual</t>
        </is>
      </c>
      <c r="F10" s="22" t="n"/>
      <c r="G10" s="23">
        <f>IFERROR(D10*F10,"")</f>
        <v/>
      </c>
      <c r="H10" s="21" t="inlineStr">
        <is>
          <t>SISTEMA SINGULAR LAB</t>
        </is>
      </c>
    </row>
    <row r="11">
      <c r="A11" s="20" t="inlineStr">
        <is>
          <t>P-ESP-006</t>
        </is>
      </c>
      <c r="B11" s="21" t="inlineStr">
        <is>
          <t>Mantenimiento sistema climatización PET-TAC (blindaje)</t>
        </is>
      </c>
      <c r="C11" s="20" t="inlineStr">
        <is>
          <t>ud</t>
        </is>
      </c>
      <c r="D11" s="20" t="n">
        <v>4</v>
      </c>
      <c r="E11" s="20" t="inlineStr">
        <is>
          <t>trimestral</t>
        </is>
      </c>
      <c r="F11" s="22" t="n"/>
      <c r="G11" s="23">
        <f>IFERROR(D11*F11,"")</f>
        <v/>
      </c>
      <c r="H11" s="21" t="inlineStr">
        <is>
          <t>DUPLICADO con P-HVAC-043?</t>
        </is>
      </c>
    </row>
    <row r="12">
      <c r="A12" s="20" t="inlineStr">
        <is>
          <t>P-ESP-007</t>
        </is>
      </c>
      <c r="B12" s="21" t="inlineStr">
        <is>
          <t>Mantenimiento cámaras frigoríficas laboratorio -80°C</t>
        </is>
      </c>
      <c r="C12" s="20" t="inlineStr">
        <is>
          <t>ud</t>
        </is>
      </c>
      <c r="D12" s="20" t="n">
        <v>48</v>
      </c>
      <c r="E12" s="20" t="inlineStr">
        <is>
          <t>mensual</t>
        </is>
      </c>
      <c r="F12" s="22" t="n"/>
      <c r="G12" s="23">
        <f>IFERROR(D12*F12,"")</f>
        <v/>
      </c>
      <c r="H12" s="21" t="inlineStr">
        <is>
          <t>4 cámaras × 12</t>
        </is>
      </c>
    </row>
    <row r="13">
      <c r="A13" s="20" t="inlineStr">
        <is>
          <t>P-ESP-008</t>
        </is>
      </c>
      <c r="B13" s="21" t="inlineStr">
        <is>
          <t>Mantenimiento cámaras frigoríficas laboratorio -40°C</t>
        </is>
      </c>
      <c r="C13" s="20" t="inlineStr">
        <is>
          <t>ud</t>
        </is>
      </c>
      <c r="D13" s="20" t="n">
        <v>24</v>
      </c>
      <c r="E13" s="20" t="inlineStr">
        <is>
          <t>mensual</t>
        </is>
      </c>
      <c r="F13" s="22" t="n"/>
      <c r="G13" s="23">
        <f>IFERROR(D13*F13,"")</f>
        <v/>
      </c>
      <c r="H13" s="21" t="inlineStr"/>
    </row>
    <row r="14">
      <c r="A14" s="20" t="inlineStr">
        <is>
          <t>P-ESP-009</t>
        </is>
      </c>
      <c r="B14" s="21" t="inlineStr">
        <is>
          <t>Mantenimiento cámaras frigoríficas +4°C clínicas</t>
        </is>
      </c>
      <c r="C14" s="20" t="inlineStr">
        <is>
          <t>ud</t>
        </is>
      </c>
      <c r="D14" s="20" t="n">
        <v>96</v>
      </c>
      <c r="E14" s="20" t="inlineStr">
        <is>
          <t>mensual</t>
        </is>
      </c>
      <c r="F14" s="22" t="n"/>
      <c r="G14" s="23">
        <f>IFERROR(D14*F14,"")</f>
        <v/>
      </c>
      <c r="H14" s="21" t="inlineStr">
        <is>
          <t>8 cámaras × 12</t>
        </is>
      </c>
    </row>
    <row r="15">
      <c r="A15" s="20" t="inlineStr">
        <is>
          <t>P-ESP-010</t>
        </is>
      </c>
      <c r="B15" s="21" t="inlineStr">
        <is>
          <t>Servicio guardia 24/7 alarmas técnicas laboratorio</t>
        </is>
      </c>
      <c r="C15" s="20" t="inlineStr">
        <is>
          <t>año</t>
        </is>
      </c>
      <c r="D15" s="20" t="n">
        <v>1</v>
      </c>
      <c r="E15" s="20" t="inlineStr">
        <is>
          <t>anual</t>
        </is>
      </c>
      <c r="F15" s="22" t="n"/>
      <c r="G15" s="23">
        <f>IFERROR(D15*F15,"")</f>
        <v/>
      </c>
      <c r="H15" s="21" t="inlineStr"/>
    </row>
    <row r="16">
      <c r="A16" s="20" t="inlineStr">
        <is>
          <t>P-ESP-011</t>
        </is>
      </c>
      <c r="B16" s="21" t="inlineStr">
        <is>
          <t>Mantenimiento cabinas de flujo laminar</t>
        </is>
      </c>
      <c r="C16" s="20" t="inlineStr">
        <is>
          <t>ud</t>
        </is>
      </c>
      <c r="D16" s="20" t="n">
        <v>32</v>
      </c>
      <c r="E16" s="20" t="inlineStr">
        <is>
          <t>semestral</t>
        </is>
      </c>
      <c r="F16" s="22" t="n"/>
      <c r="G16" s="23">
        <f>IFERROR(D16*F16,"")</f>
        <v/>
      </c>
      <c r="H16" s="21" t="inlineStr"/>
    </row>
    <row r="17">
      <c r="A17" s="20" t="inlineStr">
        <is>
          <t>P-ESP-012</t>
        </is>
      </c>
      <c r="B17" s="21" t="inlineStr">
        <is>
          <t>Mantenimiento sala limpia ISO 7 farmacia hospitalaria</t>
        </is>
      </c>
      <c r="C17" s="20" t="inlineStr">
        <is>
          <t>ud</t>
        </is>
      </c>
      <c r="D17" s="20" t="n">
        <v>4</v>
      </c>
      <c r="E17" s="20" t="inlineStr">
        <is>
          <t>trimestral</t>
        </is>
      </c>
      <c r="F17" s="22" t="n"/>
      <c r="G17" s="23">
        <f>IFERROR(D17*F17,"")</f>
        <v/>
      </c>
      <c r="H17" s="21" t="inlineStr"/>
    </row>
    <row r="18">
      <c r="A18" s="20" t="inlineStr">
        <is>
          <t>P-ESP-013</t>
        </is>
      </c>
      <c r="B18" s="21" t="inlineStr">
        <is>
          <t>Verificación protocolo ISO 14644 sala limpia</t>
        </is>
      </c>
      <c r="C18" s="20" t="inlineStr">
        <is>
          <t>ensayo</t>
        </is>
      </c>
      <c r="D18" s="20" t="n">
        <v>2</v>
      </c>
      <c r="E18" s="20" t="inlineStr">
        <is>
          <t>semestral</t>
        </is>
      </c>
      <c r="F18" s="22" t="n"/>
      <c r="G18" s="23">
        <f>IFERROR(D18*F18,"")</f>
        <v/>
      </c>
      <c r="H18" s="21" t="inlineStr"/>
    </row>
    <row r="19">
      <c r="A19" s="20" t="inlineStr">
        <is>
          <t>P-ESP-014</t>
        </is>
      </c>
      <c r="B19" s="21" t="inlineStr">
        <is>
          <t>Mantenimiento morgue y cámaras anatomía patológica</t>
        </is>
      </c>
      <c r="C19" s="20" t="inlineStr">
        <is>
          <t>ud</t>
        </is>
      </c>
      <c r="D19" s="20" t="n">
        <v>12</v>
      </c>
      <c r="E19" s="20" t="inlineStr">
        <is>
          <t>mensual</t>
        </is>
      </c>
      <c r="F19" s="22" t="n"/>
      <c r="G19" s="23">
        <f>IFERROR(D19*F19,"")</f>
        <v/>
      </c>
      <c r="H19" s="21" t="inlineStr">
        <is>
          <t>SISTEMA SINGULAR</t>
        </is>
      </c>
    </row>
    <row r="20">
      <c r="A20" s="20" t="inlineStr">
        <is>
          <t>P-ESP-015</t>
        </is>
      </c>
      <c r="B20" s="21" t="inlineStr">
        <is>
          <t>Mantenimiento incinerador residuos Grupo III</t>
        </is>
      </c>
      <c r="C20" s="20" t="inlineStr">
        <is>
          <t>ud</t>
        </is>
      </c>
      <c r="D20" s="20" t="n">
        <v>4</v>
      </c>
      <c r="E20" s="20" t="inlineStr">
        <is>
          <t>trimestral</t>
        </is>
      </c>
      <c r="F20" s="22" t="n"/>
      <c r="G20" s="23">
        <f>IFERROR(D20*F20,"")</f>
        <v/>
      </c>
      <c r="H20" s="21" t="inlineStr">
        <is>
          <t>SISTEMA SINGULAR</t>
        </is>
      </c>
    </row>
    <row r="21">
      <c r="A21" s="20" t="inlineStr">
        <is>
          <t>P-ESP-016</t>
        </is>
      </c>
      <c r="B21" s="21" t="inlineStr">
        <is>
          <t>Sistema tubo neumático transporte muestras</t>
        </is>
      </c>
      <c r="C21" s="20" t="inlineStr">
        <is>
          <t>ud</t>
        </is>
      </c>
      <c r="D21" s="20" t="n">
        <v>24</v>
      </c>
      <c r="E21" s="20" t="inlineStr">
        <is>
          <t>quincenal</t>
        </is>
      </c>
      <c r="F21" s="22" t="n"/>
      <c r="G21" s="23">
        <f>IFERROR(D21*F21,"")</f>
        <v/>
      </c>
      <c r="H21" s="21" t="inlineStr">
        <is>
          <t>SISTEMA SINGULAR HUVH</t>
        </is>
      </c>
    </row>
    <row r="22">
      <c r="A22" s="20" t="inlineStr">
        <is>
          <t>P-ESP-017</t>
        </is>
      </c>
      <c r="B22" s="21" t="inlineStr">
        <is>
          <t>Mantenimiento helipuerto azotea — balizaje</t>
        </is>
      </c>
      <c r="C22" s="20" t="inlineStr">
        <is>
          <t>ud</t>
        </is>
      </c>
      <c r="D22" s="20" t="n">
        <v>12</v>
      </c>
      <c r="E22" s="20" t="inlineStr">
        <is>
          <t>mensual</t>
        </is>
      </c>
      <c r="F22" s="22" t="n"/>
      <c r="G22" s="23">
        <f>IFERROR(D22*F22,"")</f>
        <v/>
      </c>
      <c r="H22" s="21" t="inlineStr"/>
    </row>
    <row r="23">
      <c r="A23" s="20" t="inlineStr">
        <is>
          <t>P-ESP-018</t>
        </is>
      </c>
      <c r="B23" s="21" t="inlineStr">
        <is>
          <t>Verificación protocolo oxigenación helipuerto</t>
        </is>
      </c>
      <c r="C23" s="20" t="inlineStr">
        <is>
          <t>ensayo</t>
        </is>
      </c>
      <c r="D23" s="20" t="n">
        <v>2</v>
      </c>
      <c r="E23" s="20" t="inlineStr">
        <is>
          <t>semestral</t>
        </is>
      </c>
      <c r="F23" s="22" t="n"/>
      <c r="G23" s="23">
        <f>IFERROR(D23*F23,"")</f>
        <v/>
      </c>
      <c r="H23" s="21" t="inlineStr"/>
    </row>
    <row r="25">
      <c r="F25" s="24" t="inlineStr">
        <is>
          <t>Subtotal capítulo 6:</t>
        </is>
      </c>
      <c r="G25" s="25">
        <f>SUM(G6:G23)</f>
        <v/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8" customWidth="1" min="3" max="3"/>
    <col width="18" customWidth="1" min="4" max="4"/>
    <col width="20" customWidth="1" min="5" max="5"/>
    <col width="30" customWidth="1" min="6" max="6"/>
  </cols>
  <sheetData>
    <row r="1">
      <c r="A1" s="4" t="inlineStr">
        <is>
          <t>CAPÍTULO 7</t>
        </is>
      </c>
    </row>
    <row r="2">
      <c r="A2" s="18" t="inlineStr">
        <is>
          <t>PERSONAL ADSCRITO AL CONTRATO</t>
        </is>
      </c>
    </row>
    <row r="3">
      <c r="A3" s="19" t="inlineStr">
        <is>
          <t>Indicar el coste anual estimado por perfil</t>
        </is>
      </c>
    </row>
    <row r="5">
      <c r="A5" s="8" t="inlineStr">
        <is>
          <t>Código</t>
        </is>
      </c>
      <c r="B5" s="8" t="inlineStr">
        <is>
          <t>Perfil</t>
        </is>
      </c>
      <c r="C5" s="8" t="inlineStr">
        <is>
          <t>Dedicación h/mes</t>
        </is>
      </c>
      <c r="D5" s="8" t="inlineStr">
        <is>
          <t>Coste hora (€)</t>
        </is>
      </c>
      <c r="E5" s="8" t="inlineStr">
        <is>
          <t>Coste anual (€)</t>
        </is>
      </c>
      <c r="F5" s="8" t="inlineStr">
        <is>
          <t>Observaciones</t>
        </is>
      </c>
    </row>
    <row r="6">
      <c r="A6" s="26" t="inlineStr">
        <is>
          <t>P-RRHH-001</t>
        </is>
      </c>
      <c r="B6" s="21" t="inlineStr">
        <is>
          <t>Ingeniero responsable del contrato</t>
        </is>
      </c>
      <c r="C6" s="26" t="n">
        <v>30</v>
      </c>
      <c r="D6" s="27" t="n"/>
      <c r="E6" s="27">
        <f>IFERROR(C6*D6*12,"")</f>
        <v/>
      </c>
      <c r="F6" s="21" t="inlineStr">
        <is>
          <t>Jornada parcial asignada</t>
        </is>
      </c>
    </row>
    <row r="7">
      <c r="A7" s="26" t="inlineStr">
        <is>
          <t>P-RRHH-002</t>
        </is>
      </c>
      <c r="B7" s="21" t="inlineStr">
        <is>
          <t>Jefe de equipo</t>
        </is>
      </c>
      <c r="C7" s="26" t="n">
        <v>160</v>
      </c>
      <c r="D7" s="27" t="n"/>
      <c r="E7" s="27">
        <f>IFERROR(C7*D7*12,"")</f>
        <v/>
      </c>
      <c r="F7" s="21" t="inlineStr">
        <is>
          <t>Dedicación completa</t>
        </is>
      </c>
    </row>
    <row r="8">
      <c r="A8" s="26" t="inlineStr">
        <is>
          <t>P-RRHH-003</t>
        </is>
      </c>
      <c r="B8" s="21" t="inlineStr">
        <is>
          <t>Técnico oficial 1ª HVAC (1)</t>
        </is>
      </c>
      <c r="C8" s="26" t="n">
        <v>160</v>
      </c>
      <c r="D8" s="27" t="n"/>
      <c r="E8" s="27">
        <f>IFERROR(C8*D8*12,"")</f>
        <v/>
      </c>
      <c r="F8" s="21" t="inlineStr">
        <is>
          <t>Dedicación completa</t>
        </is>
      </c>
    </row>
    <row r="9">
      <c r="A9" s="26" t="inlineStr">
        <is>
          <t>P-RRHH-004</t>
        </is>
      </c>
      <c r="B9" s="21" t="inlineStr">
        <is>
          <t>Técnico oficial 1ª HVAC (2)</t>
        </is>
      </c>
      <c r="C9" s="26" t="n">
        <v>160</v>
      </c>
      <c r="D9" s="27" t="n"/>
      <c r="E9" s="27">
        <f>IFERROR(C9*D9*12,"")</f>
        <v/>
      </c>
      <c r="F9" s="21" t="inlineStr">
        <is>
          <t>Dedicación completa</t>
        </is>
      </c>
    </row>
    <row r="10">
      <c r="A10" s="26" t="inlineStr">
        <is>
          <t>P-RRHH-005</t>
        </is>
      </c>
      <c r="B10" s="21" t="inlineStr">
        <is>
          <t>Técnico oficial 1ª Electricidad (1)</t>
        </is>
      </c>
      <c r="C10" s="26" t="n">
        <v>160</v>
      </c>
      <c r="D10" s="27" t="n"/>
      <c r="E10" s="27">
        <f>IFERROR(C10*D10*12,"")</f>
        <v/>
      </c>
      <c r="F10" s="21" t="inlineStr">
        <is>
          <t>Dedicación completa</t>
        </is>
      </c>
    </row>
    <row r="11">
      <c r="A11" s="26" t="inlineStr">
        <is>
          <t>P-RRHH-006</t>
        </is>
      </c>
      <c r="B11" s="21" t="inlineStr">
        <is>
          <t>Técnico oficial 1ª Electricidad (2)</t>
        </is>
      </c>
      <c r="C11" s="26" t="n">
        <v>160</v>
      </c>
      <c r="D11" s="27" t="n"/>
      <c r="E11" s="27">
        <f>IFERROR(C11*D11*12,"")</f>
        <v/>
      </c>
      <c r="F11" s="21" t="inlineStr">
        <is>
          <t>Dedicación completa</t>
        </is>
      </c>
    </row>
    <row r="12">
      <c r="A12" s="26" t="inlineStr">
        <is>
          <t>P-RRHH-007</t>
        </is>
      </c>
      <c r="B12" s="21" t="inlineStr">
        <is>
          <t>Técnico oficial 1ª PCI</t>
        </is>
      </c>
      <c r="C12" s="26" t="n">
        <v>160</v>
      </c>
      <c r="D12" s="27" t="n"/>
      <c r="E12" s="27">
        <f>IFERROR(C12*D12*12,"")</f>
        <v/>
      </c>
      <c r="F12" s="21" t="inlineStr">
        <is>
          <t>Dedicación completa</t>
        </is>
      </c>
    </row>
    <row r="13">
      <c r="A13" s="26" t="inlineStr">
        <is>
          <t>P-RRHH-008</t>
        </is>
      </c>
      <c r="B13" s="21" t="inlineStr">
        <is>
          <t>Técnico oficial 2ª Fontanería</t>
        </is>
      </c>
      <c r="C13" s="26" t="n">
        <v>160</v>
      </c>
      <c r="D13" s="27" t="n"/>
      <c r="E13" s="27">
        <f>IFERROR(C13*D13*12,"")</f>
        <v/>
      </c>
      <c r="F13" s="21" t="inlineStr">
        <is>
          <t>Dedicación completa</t>
        </is>
      </c>
    </row>
    <row r="14">
      <c r="A14" s="26" t="inlineStr">
        <is>
          <t>P-RRHH-009</t>
        </is>
      </c>
      <c r="B14" s="21" t="inlineStr">
        <is>
          <t>Técnico oficial 2ª apoyo multidisciplinar</t>
        </is>
      </c>
      <c r="C14" s="26" t="n">
        <v>160</v>
      </c>
      <c r="D14" s="27" t="n"/>
      <c r="E14" s="27">
        <f>IFERROR(C14*D14*12,"")</f>
        <v/>
      </c>
      <c r="F14" s="21" t="inlineStr">
        <is>
          <t>Dedicación completa</t>
        </is>
      </c>
    </row>
    <row r="15">
      <c r="A15" s="26" t="inlineStr">
        <is>
          <t>P-RRHH-010</t>
        </is>
      </c>
      <c r="B15" s="21" t="inlineStr">
        <is>
          <t>Técnico ascensorista (subcontrata certificada)</t>
        </is>
      </c>
      <c r="C15" s="26" t="n">
        <v>80</v>
      </c>
      <c r="D15" s="27" t="n"/>
      <c r="E15" s="27">
        <f>IFERROR(C15*D15*12,"")</f>
        <v/>
      </c>
      <c r="F15" s="21" t="inlineStr">
        <is>
          <t>Media jornada</t>
        </is>
      </c>
    </row>
    <row r="16">
      <c r="A16" s="26" t="inlineStr">
        <is>
          <t>P-RRHH-011</t>
        </is>
      </c>
      <c r="B16" s="21" t="inlineStr">
        <is>
          <t>Guardia 24/7 rotativa</t>
        </is>
      </c>
      <c r="C16" s="26" t="n">
        <v>240</v>
      </c>
      <c r="D16" s="27" t="n"/>
      <c r="E16" s="27">
        <f>IFERROR(C16*D16*12,"")</f>
        <v/>
      </c>
      <c r="F16" s="21" t="inlineStr">
        <is>
          <t>Pool 3 técnicos</t>
        </is>
      </c>
    </row>
    <row r="17">
      <c r="A17" s="26" t="inlineStr">
        <is>
          <t>P-RRHH-012</t>
        </is>
      </c>
      <c r="B17" s="21" t="inlineStr">
        <is>
          <t>Administrativo GMAO y reporting</t>
        </is>
      </c>
      <c r="C17" s="26" t="n">
        <v>80</v>
      </c>
      <c r="D17" s="27" t="n"/>
      <c r="E17" s="27">
        <f>IFERROR(C17*D17*12,"")</f>
        <v/>
      </c>
      <c r="F17" s="21" t="inlineStr">
        <is>
          <t>Media jornada</t>
        </is>
      </c>
    </row>
    <row r="19">
      <c r="D19" s="24" t="inlineStr">
        <is>
          <t>Subtotal capítulo 7:</t>
        </is>
      </c>
      <c r="E19" s="25">
        <f>SUM(E6:E17)</f>
        <v/>
      </c>
      <c r="F19" s="28" t="inlineStr">
        <is>
          <t>Subtotal capítulo 7:</t>
        </is>
      </c>
      <c r="G19" s="29">
        <f>SUM(E6:E17)</f>
        <v/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55" customWidth="1" min="2" max="2"/>
    <col width="10" customWidth="1" min="3" max="3"/>
    <col width="12" customWidth="1" min="4" max="4"/>
    <col width="18" customWidth="1" min="5" max="5"/>
    <col width="18" customWidth="1" min="6" max="6"/>
  </cols>
  <sheetData>
    <row r="1">
      <c r="A1" s="4" t="inlineStr">
        <is>
          <t>CAPÍTULO 8</t>
        </is>
      </c>
    </row>
    <row r="2">
      <c r="A2" s="18" t="inlineStr">
        <is>
          <t>MEJORAS OPCIONALES (no obligatorias)</t>
        </is>
      </c>
    </row>
    <row r="3">
      <c r="A3" s="19" t="inlineStr">
        <is>
          <t>Propuestas de mejora. Puede proponerse sin coste o con coste — se valorará.</t>
        </is>
      </c>
    </row>
    <row r="5">
      <c r="A5" s="8" t="inlineStr">
        <is>
          <t>Código</t>
        </is>
      </c>
      <c r="B5" s="8" t="inlineStr">
        <is>
          <t>Descripción mejora</t>
        </is>
      </c>
      <c r="C5" s="8" t="inlineStr">
        <is>
          <t>Unidad</t>
        </is>
      </c>
      <c r="D5" s="8" t="inlineStr">
        <is>
          <t>Cantidad</t>
        </is>
      </c>
      <c r="E5" s="8" t="inlineStr">
        <is>
          <t>Coste (€)</t>
        </is>
      </c>
      <c r="F5" s="8" t="inlineStr">
        <is>
          <t>Total (€)</t>
        </is>
      </c>
    </row>
    <row r="6">
      <c r="A6" s="26" t="inlineStr">
        <is>
          <t>M-OPC-001</t>
        </is>
      </c>
      <c r="B6" s="21" t="inlineStr">
        <is>
          <t>Plataforma GMAO avanzada con acceso cliente</t>
        </is>
      </c>
      <c r="C6" s="26" t="inlineStr">
        <is>
          <t>año</t>
        </is>
      </c>
      <c r="D6" s="26" t="n">
        <v>1</v>
      </c>
      <c r="E6" s="27" t="n"/>
      <c r="F6" s="27">
        <f>IFERROR(D6*E6,"")</f>
        <v/>
      </c>
    </row>
    <row r="7">
      <c r="A7" s="26" t="inlineStr">
        <is>
          <t>M-OPC-002</t>
        </is>
      </c>
      <c r="B7" s="21" t="inlineStr">
        <is>
          <t>Termografía anual extendida a todo el parque eléctrico</t>
        </is>
      </c>
      <c r="C7" s="26" t="inlineStr">
        <is>
          <t>año</t>
        </is>
      </c>
      <c r="D7" s="26" t="n">
        <v>1</v>
      </c>
      <c r="E7" s="27" t="n"/>
      <c r="F7" s="27">
        <f>IFERROR(D7*E7,"")</f>
        <v/>
      </c>
    </row>
    <row r="8">
      <c r="A8" s="26" t="inlineStr">
        <is>
          <t>M-OPC-003</t>
        </is>
      </c>
      <c r="B8" s="21" t="inlineStr">
        <is>
          <t>Analítica energética trimestral con informe</t>
        </is>
      </c>
      <c r="C8" s="26" t="inlineStr">
        <is>
          <t>informe</t>
        </is>
      </c>
      <c r="D8" s="26" t="n">
        <v>4</v>
      </c>
      <c r="E8" s="27" t="n"/>
      <c r="F8" s="27">
        <f>IFERROR(D8*E8,"")</f>
        <v/>
      </c>
    </row>
    <row r="9">
      <c r="A9" s="26" t="inlineStr">
        <is>
          <t>M-OPC-004</t>
        </is>
      </c>
      <c r="B9" s="21" t="inlineStr">
        <is>
          <t>App móvil para comunicación técnica ↔ cliente</t>
        </is>
      </c>
      <c r="C9" s="26" t="inlineStr">
        <is>
          <t>año</t>
        </is>
      </c>
      <c r="D9" s="26" t="n">
        <v>1</v>
      </c>
      <c r="E9" s="27" t="n"/>
      <c r="F9" s="27">
        <f>IFERROR(D9*E9,"")</f>
        <v/>
      </c>
    </row>
    <row r="10">
      <c r="A10" s="26" t="inlineStr">
        <is>
          <t>M-OPC-005</t>
        </is>
      </c>
      <c r="B10" s="21" t="inlineStr">
        <is>
          <t>Plan formación interna cliente (4 sesiones/año)</t>
        </is>
      </c>
      <c r="C10" s="26" t="inlineStr">
        <is>
          <t>sesión</t>
        </is>
      </c>
      <c r="D10" s="26" t="n">
        <v>4</v>
      </c>
      <c r="E10" s="27" t="n"/>
      <c r="F10" s="27">
        <f>IFERROR(D10*E10,"")</f>
        <v/>
      </c>
    </row>
    <row r="11">
      <c r="A11" s="26" t="inlineStr">
        <is>
          <t>M-OPC-006</t>
        </is>
      </c>
      <c r="B11" s="21" t="inlineStr">
        <is>
          <t>Auditoría energética anual específica ISO 50001</t>
        </is>
      </c>
      <c r="C11" s="26" t="inlineStr">
        <is>
          <t>auditoría</t>
        </is>
      </c>
      <c r="D11" s="26" t="n">
        <v>1</v>
      </c>
      <c r="E11" s="27" t="n"/>
      <c r="F11" s="27">
        <f>IFERROR(D11*E11,"")</f>
        <v/>
      </c>
    </row>
    <row r="12">
      <c r="A12" s="26" t="inlineStr">
        <is>
          <t>M-OPC-007</t>
        </is>
      </c>
      <c r="B12" s="21" t="inlineStr">
        <is>
          <t>Dashboard tiempo real BMS hospital — integración</t>
        </is>
      </c>
      <c r="C12" s="26" t="inlineStr">
        <is>
          <t>año</t>
        </is>
      </c>
      <c r="D12" s="26" t="n">
        <v>1</v>
      </c>
      <c r="E12" s="27" t="n"/>
      <c r="F12" s="27">
        <f>IFERROR(D12*E12,"")</f>
        <v/>
      </c>
    </row>
    <row r="13">
      <c r="A13" s="26" t="inlineStr">
        <is>
          <t>M-OPC-008</t>
        </is>
      </c>
      <c r="B13" s="21" t="inlineStr">
        <is>
          <t>Plan de contingencia con Plan B para cada sistema crítico</t>
        </is>
      </c>
      <c r="C13" s="26" t="inlineStr">
        <is>
          <t>plan</t>
        </is>
      </c>
      <c r="D13" s="26" t="n">
        <v>1</v>
      </c>
      <c r="E13" s="27" t="n"/>
      <c r="F13" s="27">
        <f>IFERROR(D13*E13,"")</f>
        <v/>
      </c>
    </row>
    <row r="14">
      <c r="A14" s="26" t="inlineStr">
        <is>
          <t>M-OPC-009</t>
        </is>
      </c>
      <c r="B14" s="21" t="inlineStr">
        <is>
          <t>Stock rotatorio repuestos críticos en sitio</t>
        </is>
      </c>
      <c r="C14" s="26" t="inlineStr">
        <is>
          <t>año</t>
        </is>
      </c>
      <c r="D14" s="26" t="n">
        <v>1</v>
      </c>
      <c r="E14" s="27" t="n"/>
      <c r="F14" s="27">
        <f>IFERROR(D14*E14,"")</f>
        <v/>
      </c>
    </row>
    <row r="15">
      <c r="A15" s="26" t="inlineStr">
        <is>
          <t>M-OPC-010</t>
        </is>
      </c>
      <c r="B15" s="21" t="inlineStr">
        <is>
          <t>Servicio psicología laboral para equipo de guardia</t>
        </is>
      </c>
      <c r="C15" s="26" t="inlineStr">
        <is>
          <t>año</t>
        </is>
      </c>
      <c r="D15" s="26" t="n">
        <v>1</v>
      </c>
      <c r="E15" s="27" t="n"/>
      <c r="F15" s="27">
        <f>IFERROR(D15*E15,"")</f>
        <v/>
      </c>
    </row>
    <row r="17">
      <c r="E17" s="24" t="inlineStr">
        <is>
          <t>Subtotal mejoras:</t>
        </is>
      </c>
      <c r="F17" s="25">
        <f>SUM(F6:F15)</f>
        <v/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2026-04-19T18:19:14Z</dcterms:created>
  <dcterms:modified xmlns:dcterms="http://purl.org/dc/terms/" xmlns:xsi="http://www.w3.org/2001/XMLSchema-instance" xsi:type="dcterms:W3CDTF">2026-04-19T18:19:14Z</dcterms:modified>
</cp:coreProperties>
</file>